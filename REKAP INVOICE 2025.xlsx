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ska\INVOICE\REKAPAN INVOICE\"/>
    </mc:Choice>
  </mc:AlternateContent>
  <xr:revisionPtr revIDLastSave="0" documentId="13_ncr:1_{90609535-7DE4-4AA2-BA3C-7AA3B8262C54}" xr6:coauthVersionLast="47" xr6:coauthVersionMax="47" xr10:uidLastSave="{00000000-0000-0000-0000-000000000000}"/>
  <bookViews>
    <workbookView xWindow="-110" yWindow="-110" windowWidth="19420" windowHeight="10300" tabRatio="549" xr2:uid="{00000000-000D-0000-FFFF-FFFF00000000}"/>
  </bookViews>
  <sheets>
    <sheet name="PPN 2025" sheetId="1" r:id="rId1"/>
    <sheet name="NON PPN 2025" sheetId="2" r:id="rId2"/>
  </sheets>
  <definedNames>
    <definedName name="_xlnm._FilterDatabase" localSheetId="1" hidden="1">'NON PPN 2025'!$A$6:$M$17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2" i="1" l="1"/>
  <c r="O195" i="1"/>
  <c r="O396" i="1" l="1"/>
  <c r="J418" i="1" l="1"/>
  <c r="K418" i="1"/>
  <c r="L418" i="1"/>
  <c r="O41" i="1"/>
  <c r="N41" i="1"/>
  <c r="L41" i="1"/>
  <c r="K41" i="1"/>
  <c r="J41" i="1"/>
  <c r="I41" i="1"/>
  <c r="O73" i="1"/>
  <c r="N73" i="1"/>
  <c r="L73" i="1"/>
  <c r="K73" i="1"/>
  <c r="J73" i="1"/>
  <c r="I73" i="1"/>
  <c r="O107" i="1"/>
  <c r="N107" i="1"/>
  <c r="L107" i="1"/>
  <c r="K107" i="1"/>
  <c r="J107" i="1"/>
  <c r="I107" i="1"/>
  <c r="O136" i="1"/>
  <c r="N136" i="1"/>
  <c r="L136" i="1"/>
  <c r="K136" i="1"/>
  <c r="J136" i="1"/>
  <c r="I136" i="1"/>
  <c r="O165" i="1"/>
  <c r="N165" i="1"/>
  <c r="L165" i="1"/>
  <c r="K165" i="1"/>
  <c r="J165" i="1"/>
  <c r="I165" i="1"/>
  <c r="N197" i="1"/>
  <c r="L197" i="1"/>
  <c r="K197" i="1"/>
  <c r="J197" i="1"/>
  <c r="I197" i="1"/>
  <c r="N240" i="1"/>
  <c r="L240" i="1"/>
  <c r="K240" i="1"/>
  <c r="J240" i="1"/>
  <c r="I240" i="1"/>
  <c r="N263" i="1"/>
  <c r="L263" i="1"/>
  <c r="K263" i="1"/>
  <c r="J263" i="1"/>
  <c r="I263" i="1"/>
  <c r="N295" i="1"/>
  <c r="L295" i="1"/>
  <c r="K295" i="1"/>
  <c r="J295" i="1"/>
  <c r="I295" i="1"/>
  <c r="N326" i="1"/>
  <c r="L326" i="1"/>
  <c r="K326" i="1"/>
  <c r="J326" i="1"/>
  <c r="I326" i="1"/>
  <c r="K416" i="1"/>
  <c r="L416" i="1"/>
  <c r="L367" i="1"/>
  <c r="K367" i="1"/>
  <c r="J367" i="1"/>
  <c r="I367" i="1"/>
  <c r="N367" i="1"/>
  <c r="N416" i="1"/>
  <c r="J416" i="1"/>
  <c r="I416" i="1"/>
  <c r="N418" i="1" l="1"/>
  <c r="O412" i="1"/>
  <c r="L412" i="1"/>
  <c r="L414" i="1"/>
  <c r="O414" i="1" s="1"/>
  <c r="L415" i="1"/>
  <c r="O415" i="1" s="1"/>
  <c r="K412" i="1"/>
  <c r="K413" i="1"/>
  <c r="L413" i="1" s="1"/>
  <c r="O413" i="1" s="1"/>
  <c r="K414" i="1"/>
  <c r="K415" i="1"/>
  <c r="K411" i="1"/>
  <c r="L411" i="1" s="1"/>
  <c r="O411" i="1" s="1"/>
  <c r="K410" i="1"/>
  <c r="L410" i="1" s="1"/>
  <c r="O410" i="1" s="1"/>
  <c r="K366" i="1"/>
  <c r="L366" i="1" s="1"/>
  <c r="K409" i="1"/>
  <c r="L409" i="1" s="1"/>
  <c r="O409" i="1" s="1"/>
  <c r="K365" i="1"/>
  <c r="L365" i="1"/>
  <c r="O366" i="1" l="1"/>
  <c r="O365" i="1"/>
  <c r="K364" i="1"/>
  <c r="L364" i="1" s="1"/>
  <c r="O364" i="1" s="1"/>
  <c r="K317" i="1" l="1"/>
  <c r="L317" i="1" s="1"/>
  <c r="O317" i="1" s="1"/>
  <c r="K325" i="1"/>
  <c r="L325" i="1" s="1"/>
  <c r="O325" i="1" l="1"/>
  <c r="N235" i="1" l="1"/>
  <c r="N291" i="1"/>
  <c r="N189" i="1" l="1"/>
  <c r="K265" i="1"/>
  <c r="L265" i="1" s="1"/>
  <c r="O265" i="1" s="1"/>
  <c r="K239" i="1"/>
  <c r="L239" i="1" l="1"/>
  <c r="K238" i="1"/>
  <c r="L238" i="1" s="1"/>
  <c r="O238" i="1" s="1"/>
  <c r="O239" i="1" l="1"/>
  <c r="K237" i="1"/>
  <c r="L237" i="1" s="1"/>
  <c r="O237" i="1" s="1"/>
  <c r="K230" i="1"/>
  <c r="L230" i="1" s="1"/>
  <c r="O230" i="1" s="1"/>
  <c r="K231" i="1"/>
  <c r="L231" i="1" s="1"/>
  <c r="O231" i="1" s="1"/>
  <c r="K232" i="1"/>
  <c r="L232" i="1" s="1"/>
  <c r="K233" i="1"/>
  <c r="L233" i="1" s="1"/>
  <c r="K234" i="1"/>
  <c r="L234" i="1" s="1"/>
  <c r="O234" i="1" s="1"/>
  <c r="K235" i="1"/>
  <c r="L235" i="1" s="1"/>
  <c r="O235" i="1" s="1"/>
  <c r="K229" i="1"/>
  <c r="L229" i="1" s="1"/>
  <c r="O229" i="1" s="1"/>
  <c r="K222" i="1" l="1"/>
  <c r="L222" i="1" s="1"/>
  <c r="O222" i="1" s="1"/>
  <c r="K223" i="1"/>
  <c r="L223" i="1" s="1"/>
  <c r="O223" i="1" s="1"/>
  <c r="K224" i="1"/>
  <c r="L224" i="1" s="1"/>
  <c r="O224" i="1" s="1"/>
  <c r="K225" i="1"/>
  <c r="L225" i="1" s="1"/>
  <c r="O225" i="1" s="1"/>
  <c r="K226" i="1"/>
  <c r="L226" i="1" s="1"/>
  <c r="K227" i="1"/>
  <c r="L227" i="1" s="1"/>
  <c r="O227" i="1" s="1"/>
  <c r="K228" i="1"/>
  <c r="L228" i="1" s="1"/>
  <c r="O228" i="1" s="1"/>
  <c r="H8" i="2" l="1"/>
  <c r="H13" i="2"/>
  <c r="N182" i="1" l="1"/>
  <c r="N102" i="1" l="1"/>
  <c r="K196" i="1" l="1"/>
  <c r="L196" i="1" s="1"/>
  <c r="K195" i="1"/>
  <c r="L195" i="1" s="1"/>
  <c r="O197" i="1" l="1"/>
  <c r="K193" i="1" l="1"/>
  <c r="L193" i="1" s="1"/>
  <c r="K199" i="1" l="1"/>
  <c r="N111" i="1"/>
  <c r="N85" i="1" l="1"/>
  <c r="N84" i="1"/>
  <c r="N69" i="1"/>
  <c r="N87" i="1" l="1"/>
  <c r="N86" i="1"/>
  <c r="K135" i="1" l="1"/>
  <c r="L135" i="1" s="1"/>
  <c r="O135" i="1" s="1"/>
  <c r="K134" i="1"/>
  <c r="L134" i="1" s="1"/>
  <c r="O134" i="1" s="1"/>
  <c r="K133" i="1"/>
  <c r="L133" i="1" s="1"/>
  <c r="O133" i="1" s="1"/>
  <c r="K127" i="1"/>
  <c r="L127" i="1" s="1"/>
  <c r="K128" i="1"/>
  <c r="L128" i="1" s="1"/>
  <c r="K126" i="1"/>
  <c r="L126" i="1" s="1"/>
  <c r="O126" i="1" s="1"/>
  <c r="K125" i="1"/>
  <c r="L125" i="1" s="1"/>
  <c r="O125" i="1" s="1"/>
  <c r="K116" i="1"/>
  <c r="L116" i="1" s="1"/>
  <c r="O116" i="1" s="1"/>
  <c r="K106" i="1" l="1"/>
  <c r="L106" i="1" s="1"/>
  <c r="O106" i="1" s="1"/>
  <c r="K105" i="1"/>
  <c r="L105" i="1" s="1"/>
  <c r="O105" i="1" s="1"/>
  <c r="K104" i="1"/>
  <c r="L104" i="1" s="1"/>
  <c r="O104" i="1" s="1"/>
  <c r="K103" i="1" l="1"/>
  <c r="L103" i="1" s="1"/>
  <c r="K101" i="1"/>
  <c r="L101" i="1" s="1"/>
  <c r="O101" i="1" s="1"/>
  <c r="K100" i="1"/>
  <c r="L100" i="1" s="1"/>
  <c r="O100" i="1" s="1"/>
  <c r="O103" i="1" l="1"/>
  <c r="K72" i="1"/>
  <c r="L72" i="1" s="1"/>
  <c r="K71" i="1"/>
  <c r="O72" i="1" l="1"/>
  <c r="L71" i="1"/>
  <c r="O71" i="1" l="1"/>
  <c r="K70" i="1" l="1"/>
  <c r="K69" i="1"/>
  <c r="L69" i="1" s="1"/>
  <c r="K68" i="1"/>
  <c r="L68" i="1" s="1"/>
  <c r="O68" i="1" s="1"/>
  <c r="K67" i="1"/>
  <c r="L67" i="1" s="1"/>
  <c r="K66" i="1"/>
  <c r="L66" i="1" s="1"/>
  <c r="K65" i="1"/>
  <c r="L65" i="1" s="1"/>
  <c r="K64" i="1"/>
  <c r="L70" i="1" l="1"/>
  <c r="O69" i="1"/>
  <c r="O67" i="1"/>
  <c r="O66" i="1"/>
  <c r="O65" i="1"/>
  <c r="L64" i="1"/>
  <c r="K63" i="1"/>
  <c r="L63" i="1" s="1"/>
  <c r="K62" i="1"/>
  <c r="K61" i="1"/>
  <c r="K36" i="1"/>
  <c r="L36" i="1" s="1"/>
  <c r="O36" i="1" s="1"/>
  <c r="K37" i="1"/>
  <c r="L37" i="1" s="1"/>
  <c r="O37" i="1" s="1"/>
  <c r="K38" i="1"/>
  <c r="L38" i="1" s="1"/>
  <c r="O38" i="1" s="1"/>
  <c r="K39" i="1"/>
  <c r="L39" i="1" s="1"/>
  <c r="O39" i="1" s="1"/>
  <c r="K29" i="1"/>
  <c r="L29" i="1" s="1"/>
  <c r="O29" i="1" s="1"/>
  <c r="K30" i="1"/>
  <c r="L30" i="1" s="1"/>
  <c r="O30" i="1" s="1"/>
  <c r="K31" i="1"/>
  <c r="L31" i="1" s="1"/>
  <c r="O31" i="1" s="1"/>
  <c r="K32" i="1"/>
  <c r="L32" i="1" s="1"/>
  <c r="O32" i="1" s="1"/>
  <c r="K28" i="1"/>
  <c r="L28" i="1" s="1"/>
  <c r="O28" i="1" s="1"/>
  <c r="O70" i="1" l="1"/>
  <c r="O64" i="1"/>
  <c r="O63" i="1"/>
  <c r="L62" i="1"/>
  <c r="L61" i="1"/>
  <c r="K27" i="1"/>
  <c r="L27" i="1" s="1"/>
  <c r="O27" i="1" s="1"/>
  <c r="K26" i="1"/>
  <c r="L26" i="1" s="1"/>
  <c r="O26" i="1" s="1"/>
  <c r="K25" i="1"/>
  <c r="L25" i="1" s="1"/>
  <c r="O25" i="1" s="1"/>
  <c r="K24" i="1"/>
  <c r="L24" i="1" s="1"/>
  <c r="O24" i="1" s="1"/>
  <c r="K23" i="1"/>
  <c r="L23" i="1" s="1"/>
  <c r="O23" i="1" s="1"/>
  <c r="K22" i="1"/>
  <c r="L22" i="1" s="1"/>
  <c r="K21" i="1"/>
  <c r="L21" i="1" s="1"/>
  <c r="K20" i="1"/>
  <c r="L20" i="1" s="1"/>
  <c r="K19" i="1"/>
  <c r="L19" i="1" s="1"/>
  <c r="O62" i="1" l="1"/>
  <c r="O61" i="1"/>
  <c r="O19" i="1"/>
  <c r="K402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8" i="1"/>
  <c r="K319" i="1"/>
  <c r="K320" i="1"/>
  <c r="K321" i="1"/>
  <c r="K322" i="1"/>
  <c r="K323" i="1"/>
  <c r="K324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36" i="1"/>
  <c r="K186" i="1"/>
  <c r="K167" i="1"/>
  <c r="K255" i="1"/>
  <c r="K408" i="1"/>
  <c r="K407" i="1"/>
  <c r="L407" i="1" s="1"/>
  <c r="O407" i="1" s="1"/>
  <c r="K406" i="1"/>
  <c r="L406" i="1" s="1"/>
  <c r="L167" i="1" l="1"/>
  <c r="L408" i="1"/>
  <c r="O406" i="1"/>
  <c r="O167" i="1" l="1"/>
  <c r="O408" i="1"/>
  <c r="L402" i="1" l="1"/>
  <c r="O402" i="1" s="1"/>
  <c r="K400" i="1"/>
  <c r="L400" i="1" s="1"/>
  <c r="K401" i="1"/>
  <c r="L401" i="1" s="1"/>
  <c r="K397" i="1"/>
  <c r="L397" i="1" s="1"/>
  <c r="K398" i="1"/>
  <c r="L398" i="1" s="1"/>
  <c r="K399" i="1"/>
  <c r="L399" i="1" s="1"/>
  <c r="K403" i="1"/>
  <c r="L403" i="1" s="1"/>
  <c r="O403" i="1" s="1"/>
  <c r="K379" i="1" l="1"/>
  <c r="L379" i="1" s="1"/>
  <c r="O379" i="1" s="1"/>
  <c r="K380" i="1"/>
  <c r="L380" i="1" s="1"/>
  <c r="O380" i="1" s="1"/>
  <c r="K381" i="1"/>
  <c r="L381" i="1" s="1"/>
  <c r="O381" i="1" s="1"/>
  <c r="K382" i="1"/>
  <c r="L382" i="1" s="1"/>
  <c r="O382" i="1" s="1"/>
  <c r="K383" i="1"/>
  <c r="L383" i="1" s="1"/>
  <c r="O383" i="1" s="1"/>
  <c r="K384" i="1"/>
  <c r="L384" i="1" s="1"/>
  <c r="O384" i="1" s="1"/>
  <c r="K385" i="1"/>
  <c r="L385" i="1" s="1"/>
  <c r="O385" i="1" s="1"/>
  <c r="K386" i="1"/>
  <c r="L386" i="1" s="1"/>
  <c r="O386" i="1" s="1"/>
  <c r="K387" i="1"/>
  <c r="L387" i="1" s="1"/>
  <c r="O387" i="1" s="1"/>
  <c r="K388" i="1"/>
  <c r="L388" i="1" s="1"/>
  <c r="O388" i="1" s="1"/>
  <c r="K370" i="1"/>
  <c r="L370" i="1" s="1"/>
  <c r="O370" i="1" s="1"/>
  <c r="K371" i="1"/>
  <c r="L371" i="1" s="1"/>
  <c r="O371" i="1" s="1"/>
  <c r="K372" i="1"/>
  <c r="L372" i="1" s="1"/>
  <c r="O372" i="1" s="1"/>
  <c r="K373" i="1"/>
  <c r="L373" i="1" s="1"/>
  <c r="O373" i="1" s="1"/>
  <c r="K374" i="1"/>
  <c r="L374" i="1" s="1"/>
  <c r="O374" i="1" s="1"/>
  <c r="K375" i="1"/>
  <c r="L375" i="1" s="1"/>
  <c r="O375" i="1" s="1"/>
  <c r="K376" i="1"/>
  <c r="L376" i="1" s="1"/>
  <c r="O376" i="1" s="1"/>
  <c r="K377" i="1"/>
  <c r="L377" i="1" s="1"/>
  <c r="O377" i="1" s="1"/>
  <c r="K378" i="1"/>
  <c r="L378" i="1" s="1"/>
  <c r="O378" i="1" s="1"/>
  <c r="K389" i="1"/>
  <c r="L389" i="1" s="1"/>
  <c r="O389" i="1" s="1"/>
  <c r="K390" i="1"/>
  <c r="L390" i="1" s="1"/>
  <c r="O390" i="1" s="1"/>
  <c r="K391" i="1"/>
  <c r="L391" i="1" s="1"/>
  <c r="O391" i="1" s="1"/>
  <c r="K392" i="1"/>
  <c r="L392" i="1" s="1"/>
  <c r="O392" i="1" s="1"/>
  <c r="K393" i="1"/>
  <c r="L393" i="1" s="1"/>
  <c r="O393" i="1" s="1"/>
  <c r="K394" i="1"/>
  <c r="L394" i="1" s="1"/>
  <c r="O394" i="1" s="1"/>
  <c r="K395" i="1"/>
  <c r="L395" i="1" s="1"/>
  <c r="O395" i="1" s="1"/>
  <c r="K396" i="1"/>
  <c r="L396" i="1" s="1"/>
  <c r="K404" i="1"/>
  <c r="L404" i="1" s="1"/>
  <c r="O404" i="1" s="1"/>
  <c r="K405" i="1"/>
  <c r="L405" i="1" s="1"/>
  <c r="O405" i="1" s="1"/>
  <c r="K369" i="1"/>
  <c r="O416" i="1" l="1"/>
  <c r="L369" i="1"/>
  <c r="O369" i="1" l="1"/>
  <c r="K350" i="1"/>
  <c r="K355" i="1" l="1"/>
  <c r="K351" i="1"/>
  <c r="L351" i="1" s="1"/>
  <c r="O351" i="1" s="1"/>
  <c r="K329" i="1"/>
  <c r="L329" i="1" s="1"/>
  <c r="O329" i="1" s="1"/>
  <c r="K330" i="1"/>
  <c r="L330" i="1" s="1"/>
  <c r="O330" i="1" s="1"/>
  <c r="K331" i="1"/>
  <c r="L331" i="1" s="1"/>
  <c r="O331" i="1" s="1"/>
  <c r="K332" i="1"/>
  <c r="L332" i="1" s="1"/>
  <c r="O332" i="1" s="1"/>
  <c r="K333" i="1"/>
  <c r="L333" i="1" s="1"/>
  <c r="O333" i="1" s="1"/>
  <c r="K334" i="1"/>
  <c r="L334" i="1" s="1"/>
  <c r="O334" i="1" s="1"/>
  <c r="K335" i="1"/>
  <c r="L335" i="1" s="1"/>
  <c r="O335" i="1" s="1"/>
  <c r="K336" i="1"/>
  <c r="L336" i="1" s="1"/>
  <c r="O336" i="1" s="1"/>
  <c r="K337" i="1"/>
  <c r="L337" i="1" s="1"/>
  <c r="O337" i="1" s="1"/>
  <c r="K338" i="1"/>
  <c r="L338" i="1" s="1"/>
  <c r="O338" i="1" s="1"/>
  <c r="K339" i="1"/>
  <c r="L339" i="1" s="1"/>
  <c r="O339" i="1" s="1"/>
  <c r="K340" i="1"/>
  <c r="L340" i="1" s="1"/>
  <c r="O340" i="1" s="1"/>
  <c r="K341" i="1"/>
  <c r="L341" i="1" s="1"/>
  <c r="O341" i="1" s="1"/>
  <c r="K342" i="1"/>
  <c r="L342" i="1" s="1"/>
  <c r="O342" i="1" s="1"/>
  <c r="K343" i="1"/>
  <c r="L343" i="1" s="1"/>
  <c r="O343" i="1" s="1"/>
  <c r="K344" i="1"/>
  <c r="L344" i="1" s="1"/>
  <c r="O344" i="1" s="1"/>
  <c r="K345" i="1"/>
  <c r="L345" i="1" s="1"/>
  <c r="O345" i="1" s="1"/>
  <c r="K346" i="1"/>
  <c r="L346" i="1" s="1"/>
  <c r="O346" i="1" s="1"/>
  <c r="K347" i="1"/>
  <c r="L347" i="1" s="1"/>
  <c r="O347" i="1" s="1"/>
  <c r="K348" i="1"/>
  <c r="L348" i="1" s="1"/>
  <c r="O348" i="1" s="1"/>
  <c r="K349" i="1"/>
  <c r="L349" i="1" s="1"/>
  <c r="O349" i="1" s="1"/>
  <c r="L350" i="1"/>
  <c r="K352" i="1"/>
  <c r="L352" i="1" s="1"/>
  <c r="O352" i="1" s="1"/>
  <c r="K353" i="1"/>
  <c r="L353" i="1" s="1"/>
  <c r="O353" i="1" s="1"/>
  <c r="K354" i="1"/>
  <c r="L354" i="1" s="1"/>
  <c r="O354" i="1" s="1"/>
  <c r="K356" i="1"/>
  <c r="L356" i="1" s="1"/>
  <c r="O356" i="1" s="1"/>
  <c r="K357" i="1"/>
  <c r="L357" i="1" s="1"/>
  <c r="K358" i="1"/>
  <c r="L358" i="1" s="1"/>
  <c r="K359" i="1"/>
  <c r="L359" i="1" s="1"/>
  <c r="O359" i="1" s="1"/>
  <c r="K360" i="1"/>
  <c r="L360" i="1" s="1"/>
  <c r="O360" i="1" s="1"/>
  <c r="K361" i="1"/>
  <c r="L361" i="1" s="1"/>
  <c r="O361" i="1" s="1"/>
  <c r="K362" i="1"/>
  <c r="L362" i="1" s="1"/>
  <c r="O362" i="1" s="1"/>
  <c r="K363" i="1"/>
  <c r="L363" i="1" s="1"/>
  <c r="O363" i="1" s="1"/>
  <c r="K328" i="1"/>
  <c r="O357" i="1" l="1"/>
  <c r="L328" i="1"/>
  <c r="O350" i="1"/>
  <c r="L355" i="1"/>
  <c r="O355" i="1" s="1"/>
  <c r="O367" i="1" s="1"/>
  <c r="O328" i="1" l="1"/>
  <c r="L324" i="1"/>
  <c r="O324" i="1" s="1"/>
  <c r="L323" i="1"/>
  <c r="O323" i="1" s="1"/>
  <c r="L322" i="1"/>
  <c r="O322" i="1" s="1"/>
  <c r="L320" i="1" l="1"/>
  <c r="O320" i="1" s="1"/>
  <c r="L321" i="1"/>
  <c r="O321" i="1" s="1"/>
  <c r="K298" i="1"/>
  <c r="L298" i="1" s="1"/>
  <c r="O298" i="1" s="1"/>
  <c r="K299" i="1"/>
  <c r="L299" i="1" s="1"/>
  <c r="O299" i="1" s="1"/>
  <c r="K300" i="1"/>
  <c r="L300" i="1" s="1"/>
  <c r="O300" i="1" s="1"/>
  <c r="L301" i="1"/>
  <c r="O301" i="1" s="1"/>
  <c r="L302" i="1"/>
  <c r="O302" i="1" s="1"/>
  <c r="L303" i="1"/>
  <c r="L304" i="1"/>
  <c r="L305" i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8" i="1"/>
  <c r="O318" i="1" s="1"/>
  <c r="L319" i="1"/>
  <c r="O319" i="1" s="1"/>
  <c r="K297" i="1"/>
  <c r="O326" i="1" l="1"/>
  <c r="O303" i="1"/>
  <c r="L297" i="1"/>
  <c r="K283" i="1" l="1"/>
  <c r="L283" i="1" s="1"/>
  <c r="O283" i="1" s="1"/>
  <c r="K287" i="1"/>
  <c r="L287" i="1" s="1"/>
  <c r="O287" i="1" s="1"/>
  <c r="K288" i="1"/>
  <c r="K289" i="1"/>
  <c r="L289" i="1" s="1"/>
  <c r="O289" i="1" s="1"/>
  <c r="K290" i="1"/>
  <c r="L290" i="1" s="1"/>
  <c r="O290" i="1" s="1"/>
  <c r="K291" i="1"/>
  <c r="L291" i="1" s="1"/>
  <c r="O291" i="1" s="1"/>
  <c r="K292" i="1"/>
  <c r="L292" i="1" s="1"/>
  <c r="O292" i="1" s="1"/>
  <c r="K293" i="1"/>
  <c r="L293" i="1" s="1"/>
  <c r="O293" i="1" s="1"/>
  <c r="K266" i="1"/>
  <c r="K267" i="1"/>
  <c r="L267" i="1" s="1"/>
  <c r="O267" i="1" s="1"/>
  <c r="K268" i="1"/>
  <c r="L268" i="1" s="1"/>
  <c r="O268" i="1" s="1"/>
  <c r="K269" i="1"/>
  <c r="L269" i="1" s="1"/>
  <c r="O269" i="1" s="1"/>
  <c r="K270" i="1"/>
  <c r="L270" i="1" s="1"/>
  <c r="O270" i="1" s="1"/>
  <c r="K271" i="1"/>
  <c r="L271" i="1" s="1"/>
  <c r="O271" i="1" s="1"/>
  <c r="K272" i="1"/>
  <c r="L272" i="1" s="1"/>
  <c r="O272" i="1" s="1"/>
  <c r="K273" i="1"/>
  <c r="L273" i="1" s="1"/>
  <c r="K274" i="1"/>
  <c r="L274" i="1" s="1"/>
  <c r="K275" i="1"/>
  <c r="L275" i="1" s="1"/>
  <c r="O275" i="1" s="1"/>
  <c r="K276" i="1"/>
  <c r="L276" i="1" s="1"/>
  <c r="O276" i="1" s="1"/>
  <c r="K277" i="1"/>
  <c r="L277" i="1" s="1"/>
  <c r="O277" i="1" s="1"/>
  <c r="K278" i="1"/>
  <c r="L278" i="1" s="1"/>
  <c r="O278" i="1" s="1"/>
  <c r="K279" i="1"/>
  <c r="L279" i="1" s="1"/>
  <c r="O279" i="1" s="1"/>
  <c r="K280" i="1"/>
  <c r="L280" i="1" s="1"/>
  <c r="O280" i="1" s="1"/>
  <c r="K281" i="1"/>
  <c r="L281" i="1" s="1"/>
  <c r="O281" i="1" s="1"/>
  <c r="K282" i="1"/>
  <c r="L282" i="1" s="1"/>
  <c r="O282" i="1" s="1"/>
  <c r="K284" i="1"/>
  <c r="L284" i="1" s="1"/>
  <c r="O284" i="1" s="1"/>
  <c r="K285" i="1"/>
  <c r="L285" i="1" s="1"/>
  <c r="O285" i="1" s="1"/>
  <c r="O295" i="1" s="1"/>
  <c r="K286" i="1"/>
  <c r="L286" i="1" s="1"/>
  <c r="O286" i="1" s="1"/>
  <c r="K294" i="1"/>
  <c r="L294" i="1" s="1"/>
  <c r="O294" i="1" s="1"/>
  <c r="O273" i="1" l="1"/>
  <c r="L266" i="1"/>
  <c r="O266" i="1" s="1"/>
  <c r="L288" i="1"/>
  <c r="O288" i="1" l="1"/>
  <c r="K254" i="1" l="1"/>
  <c r="L254" i="1" s="1"/>
  <c r="K253" i="1"/>
  <c r="L253" i="1" s="1"/>
  <c r="O253" i="1" s="1"/>
  <c r="K252" i="1"/>
  <c r="L252" i="1" s="1"/>
  <c r="O252" i="1" s="1"/>
  <c r="K251" i="1"/>
  <c r="L251" i="1" s="1"/>
  <c r="O251" i="1" s="1"/>
  <c r="K250" i="1"/>
  <c r="L250" i="1" s="1"/>
  <c r="O250" i="1" s="1"/>
  <c r="O263" i="1" s="1"/>
  <c r="K248" i="1"/>
  <c r="L248" i="1" s="1"/>
  <c r="O248" i="1" s="1"/>
  <c r="K249" i="1"/>
  <c r="L249" i="1" s="1"/>
  <c r="O249" i="1" s="1"/>
  <c r="L255" i="1"/>
  <c r="K256" i="1"/>
  <c r="L256" i="1" s="1"/>
  <c r="L236" i="1" l="1"/>
  <c r="O236" i="1" s="1"/>
  <c r="K242" i="1"/>
  <c r="K243" i="1"/>
  <c r="L243" i="1" s="1"/>
  <c r="O243" i="1" s="1"/>
  <c r="K244" i="1"/>
  <c r="L244" i="1" s="1"/>
  <c r="O244" i="1" s="1"/>
  <c r="K245" i="1"/>
  <c r="L245" i="1" s="1"/>
  <c r="O245" i="1" s="1"/>
  <c r="K246" i="1"/>
  <c r="L246" i="1" s="1"/>
  <c r="O246" i="1" s="1"/>
  <c r="K247" i="1"/>
  <c r="L247" i="1" s="1"/>
  <c r="O247" i="1" s="1"/>
  <c r="K257" i="1"/>
  <c r="L257" i="1" s="1"/>
  <c r="K258" i="1"/>
  <c r="L258" i="1" s="1"/>
  <c r="K259" i="1"/>
  <c r="L259" i="1" s="1"/>
  <c r="O259" i="1" s="1"/>
  <c r="K260" i="1"/>
  <c r="L260" i="1" s="1"/>
  <c r="O260" i="1" s="1"/>
  <c r="K261" i="1"/>
  <c r="L261" i="1" s="1"/>
  <c r="O261" i="1" s="1"/>
  <c r="K262" i="1"/>
  <c r="L262" i="1" s="1"/>
  <c r="O262" i="1" s="1"/>
  <c r="O226" i="1"/>
  <c r="L217" i="1"/>
  <c r="O217" i="1" s="1"/>
  <c r="L218" i="1"/>
  <c r="O255" i="1" l="1"/>
  <c r="L242" i="1"/>
  <c r="L221" i="1"/>
  <c r="O221" i="1" s="1"/>
  <c r="L207" i="1"/>
  <c r="O207" i="1" s="1"/>
  <c r="L210" i="1"/>
  <c r="O210" i="1" s="1"/>
  <c r="L204" i="1"/>
  <c r="O204" i="1" s="1"/>
  <c r="L205" i="1"/>
  <c r="O205" i="1" s="1"/>
  <c r="L206" i="1"/>
  <c r="O206" i="1" s="1"/>
  <c r="L208" i="1"/>
  <c r="O208" i="1" s="1"/>
  <c r="L209" i="1"/>
  <c r="O209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9" i="1"/>
  <c r="O218" i="1" s="1"/>
  <c r="L220" i="1"/>
  <c r="O220" i="1" s="1"/>
  <c r="O240" i="1" l="1"/>
  <c r="O418" i="1" s="1"/>
  <c r="L203" i="1"/>
  <c r="O203" i="1" s="1"/>
  <c r="K200" i="1"/>
  <c r="L201" i="1"/>
  <c r="O201" i="1" s="1"/>
  <c r="L202" i="1"/>
  <c r="O202" i="1" s="1"/>
  <c r="K194" i="1"/>
  <c r="L194" i="1" s="1"/>
  <c r="O193" i="1" s="1"/>
  <c r="K192" i="1"/>
  <c r="L192" i="1" s="1"/>
  <c r="L200" i="1" l="1"/>
  <c r="L199" i="1"/>
  <c r="K191" i="1"/>
  <c r="K153" i="1"/>
  <c r="L153" i="1" s="1"/>
  <c r="L191" i="1" l="1"/>
  <c r="L186" i="1" l="1"/>
  <c r="K183" i="1"/>
  <c r="L183" i="1" s="1"/>
  <c r="O183" i="1" s="1"/>
  <c r="K184" i="1"/>
  <c r="L184" i="1" s="1"/>
  <c r="O184" i="1" s="1"/>
  <c r="K185" i="1"/>
  <c r="L185" i="1" s="1"/>
  <c r="K187" i="1"/>
  <c r="L187" i="1" s="1"/>
  <c r="O187" i="1" s="1"/>
  <c r="O185" i="1" l="1"/>
  <c r="K176" i="1"/>
  <c r="L176" i="1" s="1"/>
  <c r="O176" i="1" s="1"/>
  <c r="K177" i="1"/>
  <c r="L177" i="1" s="1"/>
  <c r="O177" i="1" s="1"/>
  <c r="K178" i="1"/>
  <c r="L178" i="1" s="1"/>
  <c r="O178" i="1" s="1"/>
  <c r="K179" i="1"/>
  <c r="L179" i="1" s="1"/>
  <c r="O179" i="1" s="1"/>
  <c r="K180" i="1"/>
  <c r="L180" i="1" s="1"/>
  <c r="O180" i="1" s="1"/>
  <c r="K181" i="1"/>
  <c r="L181" i="1" s="1"/>
  <c r="O181" i="1" s="1"/>
  <c r="K182" i="1"/>
  <c r="L182" i="1" s="1"/>
  <c r="O182" i="1" s="1"/>
  <c r="K188" i="1"/>
  <c r="L188" i="1" s="1"/>
  <c r="O188" i="1" s="1"/>
  <c r="K189" i="1"/>
  <c r="L189" i="1" s="1"/>
  <c r="O189" i="1" s="1"/>
  <c r="K190" i="1"/>
  <c r="L190" i="1" s="1"/>
  <c r="O190" i="1" s="1"/>
  <c r="K168" i="1"/>
  <c r="K169" i="1"/>
  <c r="L169" i="1" s="1"/>
  <c r="O169" i="1" s="1"/>
  <c r="L170" i="1"/>
  <c r="O170" i="1" s="1"/>
  <c r="K171" i="1"/>
  <c r="L171" i="1" s="1"/>
  <c r="K172" i="1"/>
  <c r="L172" i="1" s="1"/>
  <c r="K173" i="1"/>
  <c r="L173" i="1" s="1"/>
  <c r="K174" i="1"/>
  <c r="L174" i="1" s="1"/>
  <c r="K175" i="1"/>
  <c r="L175" i="1" s="1"/>
  <c r="O175" i="1" s="1"/>
  <c r="K163" i="1"/>
  <c r="L163" i="1" s="1"/>
  <c r="O163" i="1" s="1"/>
  <c r="K157" i="1"/>
  <c r="L157" i="1" s="1"/>
  <c r="O157" i="1" s="1"/>
  <c r="K158" i="1"/>
  <c r="L158" i="1" s="1"/>
  <c r="O158" i="1" s="1"/>
  <c r="K159" i="1"/>
  <c r="L159" i="1" s="1"/>
  <c r="K160" i="1"/>
  <c r="L160" i="1" s="1"/>
  <c r="K161" i="1"/>
  <c r="L161" i="1" s="1"/>
  <c r="O161" i="1" s="1"/>
  <c r="K162" i="1"/>
  <c r="L162" i="1" s="1"/>
  <c r="O162" i="1" s="1"/>
  <c r="K164" i="1"/>
  <c r="L164" i="1" s="1"/>
  <c r="O164" i="1" s="1"/>
  <c r="O159" i="1" l="1"/>
  <c r="O171" i="1"/>
  <c r="L168" i="1"/>
  <c r="K139" i="1"/>
  <c r="L139" i="1" s="1"/>
  <c r="O139" i="1" s="1"/>
  <c r="K140" i="1"/>
  <c r="L140" i="1" s="1"/>
  <c r="O140" i="1" s="1"/>
  <c r="K141" i="1"/>
  <c r="L141" i="1" s="1"/>
  <c r="O141" i="1" s="1"/>
  <c r="K142" i="1"/>
  <c r="L142" i="1" s="1"/>
  <c r="O142" i="1" s="1"/>
  <c r="K143" i="1"/>
  <c r="L143" i="1" s="1"/>
  <c r="O143" i="1" s="1"/>
  <c r="K144" i="1"/>
  <c r="L144" i="1" s="1"/>
  <c r="O144" i="1" s="1"/>
  <c r="K145" i="1"/>
  <c r="L145" i="1" s="1"/>
  <c r="O145" i="1" s="1"/>
  <c r="K146" i="1"/>
  <c r="L146" i="1" s="1"/>
  <c r="O146" i="1" s="1"/>
  <c r="K147" i="1"/>
  <c r="L147" i="1" s="1"/>
  <c r="O147" i="1" s="1"/>
  <c r="L148" i="1"/>
  <c r="K149" i="1"/>
  <c r="L149" i="1" s="1"/>
  <c r="K150" i="1"/>
  <c r="L150" i="1" s="1"/>
  <c r="K151" i="1"/>
  <c r="L151" i="1" s="1"/>
  <c r="K152" i="1"/>
  <c r="L152" i="1" s="1"/>
  <c r="K154" i="1"/>
  <c r="L154" i="1" s="1"/>
  <c r="O154" i="1" s="1"/>
  <c r="K155" i="1"/>
  <c r="L155" i="1" s="1"/>
  <c r="O155" i="1" s="1"/>
  <c r="K156" i="1"/>
  <c r="L156" i="1" s="1"/>
  <c r="O156" i="1" s="1"/>
  <c r="K138" i="1"/>
  <c r="O148" i="1" l="1"/>
  <c r="L138" i="1"/>
  <c r="K131" i="1"/>
  <c r="K124" i="1"/>
  <c r="L124" i="1" s="1"/>
  <c r="K123" i="1"/>
  <c r="O124" i="1" l="1"/>
  <c r="L123" i="1"/>
  <c r="O123" i="1" s="1"/>
  <c r="L131" i="1"/>
  <c r="O131" i="1" s="1"/>
  <c r="K117" i="1"/>
  <c r="L117" i="1" s="1"/>
  <c r="O117" i="1" s="1"/>
  <c r="K118" i="1"/>
  <c r="L118" i="1" s="1"/>
  <c r="O118" i="1" s="1"/>
  <c r="K119" i="1"/>
  <c r="L119" i="1" s="1"/>
  <c r="O119" i="1" s="1"/>
  <c r="K120" i="1"/>
  <c r="L120" i="1" s="1"/>
  <c r="O120" i="1" s="1"/>
  <c r="K121" i="1"/>
  <c r="L121" i="1" s="1"/>
  <c r="O121" i="1" s="1"/>
  <c r="K122" i="1"/>
  <c r="L122" i="1" s="1"/>
  <c r="O122" i="1" s="1"/>
  <c r="K129" i="1"/>
  <c r="L129" i="1" s="1"/>
  <c r="O127" i="1" s="1"/>
  <c r="K130" i="1"/>
  <c r="L130" i="1" s="1"/>
  <c r="O130" i="1" s="1"/>
  <c r="K111" i="1"/>
  <c r="L111" i="1" s="1"/>
  <c r="O111" i="1" s="1"/>
  <c r="K110" i="1"/>
  <c r="L110" i="1" s="1"/>
  <c r="O110" i="1" s="1"/>
  <c r="K112" i="1"/>
  <c r="L112" i="1" s="1"/>
  <c r="O112" i="1" s="1"/>
  <c r="K113" i="1"/>
  <c r="L113" i="1" s="1"/>
  <c r="K114" i="1"/>
  <c r="L114" i="1" s="1"/>
  <c r="K115" i="1"/>
  <c r="L115" i="1" s="1"/>
  <c r="O115" i="1" s="1"/>
  <c r="K132" i="1"/>
  <c r="L132" i="1" s="1"/>
  <c r="O132" i="1" s="1"/>
  <c r="K109" i="1"/>
  <c r="O113" i="1" l="1"/>
  <c r="L109" i="1"/>
  <c r="K102" i="1"/>
  <c r="L102" i="1" s="1"/>
  <c r="O102" i="1" s="1"/>
  <c r="K99" i="1"/>
  <c r="L99" i="1" s="1"/>
  <c r="O99" i="1" s="1"/>
  <c r="K98" i="1"/>
  <c r="L98" i="1" s="1"/>
  <c r="L82" i="1"/>
  <c r="O82" i="1" s="1"/>
  <c r="K97" i="1"/>
  <c r="L97" i="1" s="1"/>
  <c r="O109" i="1" l="1"/>
  <c r="K96" i="1"/>
  <c r="L96" i="1" s="1"/>
  <c r="K94" i="1"/>
  <c r="L94" i="1" s="1"/>
  <c r="K93" i="1"/>
  <c r="L93" i="1" s="1"/>
  <c r="K92" i="1"/>
  <c r="L92" i="1" s="1"/>
  <c r="K91" i="1"/>
  <c r="L91" i="1" s="1"/>
  <c r="K90" i="1"/>
  <c r="L90" i="1" s="1"/>
  <c r="O90" i="1" s="1"/>
  <c r="K89" i="1" l="1"/>
  <c r="L89" i="1" s="1"/>
  <c r="O89" i="1" s="1"/>
  <c r="K88" i="1"/>
  <c r="L88" i="1" s="1"/>
  <c r="O88" i="1" s="1"/>
  <c r="K87" i="1"/>
  <c r="K86" i="1"/>
  <c r="L86" i="1" s="1"/>
  <c r="O86" i="1" s="1"/>
  <c r="K85" i="1"/>
  <c r="L85" i="1" s="1"/>
  <c r="O85" i="1" s="1"/>
  <c r="K84" i="1"/>
  <c r="L84" i="1" s="1"/>
  <c r="O84" i="1" s="1"/>
  <c r="K83" i="1"/>
  <c r="L83" i="1" s="1"/>
  <c r="O83" i="1" s="1"/>
  <c r="K76" i="1"/>
  <c r="L76" i="1" s="1"/>
  <c r="K77" i="1"/>
  <c r="L77" i="1" s="1"/>
  <c r="K78" i="1"/>
  <c r="L78" i="1" s="1"/>
  <c r="K79" i="1"/>
  <c r="L79" i="1" s="1"/>
  <c r="K80" i="1"/>
  <c r="L80" i="1" s="1"/>
  <c r="O80" i="1" s="1"/>
  <c r="K81" i="1"/>
  <c r="L81" i="1" s="1"/>
  <c r="O81" i="1" s="1"/>
  <c r="K95" i="1"/>
  <c r="L95" i="1" s="1"/>
  <c r="O91" i="1" s="1"/>
  <c r="K75" i="1"/>
  <c r="K60" i="1"/>
  <c r="L60" i="1" s="1"/>
  <c r="O60" i="1" s="1"/>
  <c r="L87" i="1" l="1"/>
  <c r="L75" i="1"/>
  <c r="O87" i="1" l="1"/>
  <c r="K58" i="1"/>
  <c r="L58" i="1" s="1"/>
  <c r="O58" i="1" s="1"/>
  <c r="K56" i="1"/>
  <c r="L56" i="1" s="1"/>
  <c r="O56" i="1" s="1"/>
  <c r="K55" i="1"/>
  <c r="L55" i="1" s="1"/>
  <c r="K57" i="1"/>
  <c r="L57" i="1" s="1"/>
  <c r="K59" i="1"/>
  <c r="L59" i="1" s="1"/>
  <c r="K54" i="1"/>
  <c r="L54" i="1" s="1"/>
  <c r="K53" i="1"/>
  <c r="L53" i="1" s="1"/>
  <c r="O53" i="1" s="1"/>
  <c r="O54" i="1" l="1"/>
  <c r="K52" i="1"/>
  <c r="L52" i="1" s="1"/>
  <c r="K51" i="1"/>
  <c r="L51" i="1" s="1"/>
  <c r="K50" i="1"/>
  <c r="L50" i="1" s="1"/>
  <c r="K49" i="1"/>
  <c r="L49" i="1" s="1"/>
  <c r="K48" i="1"/>
  <c r="L48" i="1" s="1"/>
  <c r="K47" i="1" l="1"/>
  <c r="L47" i="1" s="1"/>
  <c r="K46" i="1"/>
  <c r="L46" i="1" s="1"/>
  <c r="K45" i="1"/>
  <c r="L45" i="1" s="1"/>
  <c r="K44" i="1"/>
  <c r="L44" i="1" s="1"/>
  <c r="K43" i="1"/>
  <c r="K33" i="1"/>
  <c r="L33" i="1" s="1"/>
  <c r="O33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O16" i="1" s="1"/>
  <c r="K17" i="1"/>
  <c r="L17" i="1" s="1"/>
  <c r="O17" i="1" s="1"/>
  <c r="K18" i="1"/>
  <c r="L18" i="1" s="1"/>
  <c r="O18" i="1" s="1"/>
  <c r="K34" i="1"/>
  <c r="L34" i="1" s="1"/>
  <c r="O34" i="1" s="1"/>
  <c r="K35" i="1"/>
  <c r="L35" i="1" s="1"/>
  <c r="O35" i="1" s="1"/>
  <c r="K40" i="1"/>
  <c r="L40" i="1" s="1"/>
  <c r="O40" i="1" s="1"/>
  <c r="K7" i="1"/>
  <c r="K8" i="1"/>
  <c r="L8" i="1" s="1"/>
  <c r="O14" i="1" l="1"/>
  <c r="O8" i="1"/>
  <c r="L7" i="1"/>
  <c r="L43" i="1"/>
  <c r="O43" i="1" l="1"/>
  <c r="O297" i="1"/>
  <c r="O168" i="1" l="1"/>
  <c r="O7" i="1"/>
  <c r="O59" i="1" l="1"/>
  <c r="O51" i="1" l="1"/>
  <c r="O50" i="1"/>
  <c r="O49" i="1"/>
  <c r="O48" i="1"/>
  <c r="O52" i="1" l="1"/>
  <c r="O47" i="1"/>
  <c r="O242" i="1" l="1"/>
  <c r="O200" i="1" l="1"/>
  <c r="O76" i="1" l="1"/>
  <c r="O77" i="1"/>
  <c r="O78" i="1"/>
  <c r="O79" i="1"/>
  <c r="O45" i="1"/>
  <c r="O46" i="1"/>
  <c r="O57" i="1"/>
  <c r="O75" i="1" l="1"/>
  <c r="O199" i="1"/>
  <c r="O138" i="1" l="1"/>
</calcChain>
</file>

<file path=xl/sharedStrings.xml><?xml version="1.0" encoding="utf-8"?>
<sst xmlns="http://schemas.openxmlformats.org/spreadsheetml/2006/main" count="1986" uniqueCount="1448">
  <si>
    <t>Keterangan :</t>
  </si>
  <si>
    <t>SUDAH LUNAS</t>
  </si>
  <si>
    <t>Bukti Potong PPH</t>
  </si>
  <si>
    <t>Bukti Potong sdh diterima</t>
  </si>
  <si>
    <t>INVOICE BATAL / DIGANTI</t>
  </si>
  <si>
    <t>Belum bayar</t>
  </si>
  <si>
    <t>NO</t>
  </si>
  <si>
    <t>NO INVOICE</t>
  </si>
  <si>
    <t>TGL INVOICE</t>
  </si>
  <si>
    <t>KETERANGAN</t>
  </si>
  <si>
    <t>PO (IDR)</t>
  </si>
  <si>
    <t>SELISIH</t>
  </si>
  <si>
    <t>KURANG PPN</t>
  </si>
  <si>
    <t>CUSTOMER</t>
  </si>
  <si>
    <t>DESKRIPSI</t>
  </si>
  <si>
    <t>TANGGAL PO</t>
  </si>
  <si>
    <t>TANGGAL PEMBAYARAN</t>
  </si>
  <si>
    <t>NILAI PEMBAYARAN</t>
  </si>
  <si>
    <t>NOMOR PO</t>
  </si>
  <si>
    <t>DPP (IDR)</t>
  </si>
  <si>
    <t>PPN (IDR)</t>
  </si>
  <si>
    <t>TOTAL (IDR)</t>
  </si>
  <si>
    <t>TGL KIRIM INV</t>
  </si>
  <si>
    <t xml:space="preserve">Keterangan : </t>
  </si>
  <si>
    <t>Sudah lunas</t>
  </si>
  <si>
    <t>Butuh Konfirmasi Pak Budi</t>
  </si>
  <si>
    <t>NAMA CUSTOMER</t>
  </si>
  <si>
    <t>PO No.</t>
  </si>
  <si>
    <t>Tanggal PO</t>
  </si>
  <si>
    <t>TGL PEMBAYARAN</t>
  </si>
  <si>
    <t>PENERIMAAN DI BANK</t>
  </si>
  <si>
    <t>Sembilan Sembilan Teknologi ( BNPB )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</si>
  <si>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</si>
  <si>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</si>
  <si>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</si>
  <si>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</si>
  <si>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</si>
  <si>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</si>
  <si>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</si>
  <si>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</si>
  <si>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</si>
  <si>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</si>
  <si>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</si>
  <si>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</si>
  <si>
    <t>Samsung Electronics Indonesia ( Samsung Cikarang )</t>
  </si>
  <si>
    <t>002/CTR-FC/SEINP/I/2024</t>
  </si>
  <si>
    <t>0001/TUP-INV/I/2025</t>
  </si>
  <si>
    <t>Termin Ke-11 Pemeliharaan dan Perbaikan Unit HVAC @ 12x55.750.000</t>
  </si>
  <si>
    <t>0002/TUP-INV/I/2025</t>
  </si>
  <si>
    <t>0003/TUP-INV/I/2025</t>
  </si>
  <si>
    <t>0004/TUP-INV/I/2025</t>
  </si>
  <si>
    <t>0005/TUP-INV/I/2025</t>
  </si>
  <si>
    <t>0006/TUP-INV/I/2025</t>
  </si>
  <si>
    <t>0007/TUP-INV/I/2025</t>
  </si>
  <si>
    <t>0008/TUP-INV/I/2025</t>
  </si>
  <si>
    <t>0009/TUP-INV/I/2025</t>
  </si>
  <si>
    <t>0010/TUP-INV/I/2025</t>
  </si>
  <si>
    <t>0011/TUP-INV/I/2025</t>
  </si>
  <si>
    <t>0012/TUP-INV/I/2025</t>
  </si>
  <si>
    <t>Cahaya Mutiara Mandiri ( Singaraja )</t>
  </si>
  <si>
    <t xml:space="preserve">DP 30% Material PAC @ 1x80.136900, Jasa PAC @ 1x8.564.460 </t>
  </si>
  <si>
    <t>0002-C70PO-CMM-PWR18-0125</t>
  </si>
  <si>
    <t>0001R1-C70PO-CMM-PWR18-0125</t>
  </si>
  <si>
    <t>0003-C70PO-CMM-PWR18-0125</t>
  </si>
  <si>
    <t>0004-C70PO-CMM-PWR18-0125</t>
  </si>
  <si>
    <t>0005-C70PO-CMM-PWR18-0125</t>
  </si>
  <si>
    <t>0006-C70PO-CMM-PWR18-0125</t>
  </si>
  <si>
    <t>DP 30% Material PAC @ 1x16.215.000, Jasa PAC @ 1x590.000</t>
  </si>
  <si>
    <t xml:space="preserve">DP 30% Material PAC @ 1x9.960.000, Jasa PAC @ 1x15.200.000 </t>
  </si>
  <si>
    <t>DP 30% Material PAC @ 1x1.552.500, Jasa PAC @ 1x15.060.000</t>
  </si>
  <si>
    <t>DP 30% Material PAC @ 1x6.585.000, Jasa PAC @ 1x15.175.000</t>
  </si>
  <si>
    <t>DP 30% Material PAC @ 1x9.381.500, Jasa PAC @ 1x25.245.000</t>
  </si>
  <si>
    <t>Cahaya Mutiara Mandiri ( Gombel )</t>
  </si>
  <si>
    <t>Cahaya Mutiara Mandiri ( Samarinda Centrum )</t>
  </si>
  <si>
    <t>Cahaya Mutiara Mandiri ( Kaliasem )</t>
  </si>
  <si>
    <t>Cahaya Mutiara Mandiri ( Duri )</t>
  </si>
  <si>
    <t>Cahaya Mutiara Mandiri ( Lembong )</t>
  </si>
  <si>
    <t>Eaton Industries ( Dakota Batam )</t>
  </si>
  <si>
    <t>Dwimitra Ekatama Mandiri ( OCBC BSD )</t>
  </si>
  <si>
    <t>Citra Inti Semesta ( STT Phase 3 )</t>
  </si>
  <si>
    <t>Termin Ke-2 60% Floor Supp &amp; Frame for CRAC c/w Sei @ 8x8.204.800, Install Cost C/W Project Management @ 8x10.939.733, Positioning @ 1x6.837.333, HSE Officer @ 1x103.927.466, Floor supp &amp; Frame for FWU c/w wall @ 14x21.879.467, Install Cost C/W Project Management @ 14x10.939.733, Positioning @ 14x16.409.600, Install of return sensor above ceili @ 14x23.246.933</t>
  </si>
  <si>
    <t>ALC Panel : Installation Cost C/W Pro @ 1x58.000.000, Cabling work AWG 18 with @ 1x382.000.000, ALC Panel complete set w @ 1x357.000.000</t>
  </si>
  <si>
    <t>Pelunasan Termin Ke-4 preventiven maintenance chiller ERACS1501C-B-HE-INV, Brand : Climaveneta 4 times visit / year @ 2x10.000.000</t>
  </si>
  <si>
    <t>DME/IX/2023/223</t>
  </si>
  <si>
    <t>Termin Ke-3 Jasa PM Climaveneta SCU180MEX S/N : A2110002039, A211002038, A211002037, A211002036 @ 4x10.800.000</t>
  </si>
  <si>
    <t>DME/V/2024/363/MNT</t>
  </si>
  <si>
    <t>UPS East 1200 VA @ 1x6.000.000, Baterai 7ah @ 1x400.000</t>
  </si>
  <si>
    <t>007/I/CIS-PO2/25</t>
  </si>
  <si>
    <t>Cahaya Mutiara Mandiri ( Balikpapan )</t>
  </si>
  <si>
    <t>0013/TUP-INV/I/2025</t>
  </si>
  <si>
    <t>0014/TUP-INV/I/2025</t>
  </si>
  <si>
    <t>0015/TUP-INV/I/2025</t>
  </si>
  <si>
    <t>0016/TUP-INV/I/2025</t>
  </si>
  <si>
    <t>0017/TUP-INV/I/2025</t>
  </si>
  <si>
    <t>0018/TUP-INV/I/2025</t>
  </si>
  <si>
    <t>0019/TUP-INV/I/2025</t>
  </si>
  <si>
    <t>0020/TUP-INV/I/2025</t>
  </si>
  <si>
    <t>0021/TUP-INV/I/2025</t>
  </si>
  <si>
    <t>DP 30% Material PAC @ 1x1.017.000.000, Instalasi PAC @ 1x19.500.000</t>
  </si>
  <si>
    <t>0009-C76PO-CMM-PWR19-0125</t>
  </si>
  <si>
    <t>Cahaya Mutiara Mandiri ( Kebalen Lt 4 )</t>
  </si>
  <si>
    <t>DP 30% Material PAC @ 1x2.028.800.000, Instalasi PAC @ 1x2.600.000</t>
  </si>
  <si>
    <t>0012-C76PO-CMM-PWR19-0125</t>
  </si>
  <si>
    <t>Cahaya Mutiara Mandiri ( Kebalen Lt 3 )</t>
  </si>
  <si>
    <t>DP 30% Material PAC @ 1x498.000.000, Instalasi PAC @ 1x15.000.000</t>
  </si>
  <si>
    <t>0011-C76PO-CMM-PWR19-0125</t>
  </si>
  <si>
    <t>Cahaya Mutiara Mandiri ( Jayapura )</t>
  </si>
  <si>
    <t>0022/TUP-INV/I/2025</t>
  </si>
  <si>
    <t>0023/TUP-INV/I/2025</t>
  </si>
  <si>
    <t>0024/TUP-INV/I/2025</t>
  </si>
  <si>
    <t>0025/TUP-INV/I/2025</t>
  </si>
  <si>
    <t>0026/TUP-INV/I/2025</t>
  </si>
  <si>
    <t>0027/TUP-INV/I/2025</t>
  </si>
  <si>
    <t>0028/TUP-INV/I/2025</t>
  </si>
  <si>
    <t>0029/TUP-INV/I/2025</t>
  </si>
  <si>
    <t>0030/TUP-INV/I/2025</t>
  </si>
  <si>
    <t>DP 30% Material PAC @ 1x506.400.000, Instalasi PAC @ 1x3.630.000</t>
  </si>
  <si>
    <t>0010R1-C76PO-CMM-PWR19-0125</t>
  </si>
  <si>
    <t>Termin Ke-12 Pemeliharaan dan Perbaikan Unit HVAC @ 12x55.750.000</t>
  </si>
  <si>
    <t>026/PO/99TEK/X/2024</t>
  </si>
  <si>
    <t>Pelunasan 90% DAU 100M @ 1x508.000.000, SAU 017 @ 2x152.000.000, SAU 025 @ 2x194.000.000</t>
  </si>
  <si>
    <t xml:space="preserve">Instalasi &amp; Support Material PAC for Data Hall @ 1x103.639.000, Instalasi &amp; Support Material PAC for MMR 1 @ 2x70.000.000, Instalasi &amp; Support Material PAC for MMR 2 @ 2x71.000.000 </t>
  </si>
  <si>
    <t>027/PO/99TEK/X/2024</t>
  </si>
  <si>
    <t>Graha Teknologi Nusantara ( Edge Connex )</t>
  </si>
  <si>
    <t>Bearing Motor &amp; Pump Replacement @ 2x8.130.000, Seal Replacement (Include Seal Face, O-Ring, Gasket, Spring) @ 1x4.160.000, Disassembly, Installation &amp; Comm Services @ 1x31.000.000, Overhaul &amp; Re-painting @ 1x3.080.000, Supporting Material @ 1x3.500.000</t>
  </si>
  <si>
    <t>PO22771</t>
  </si>
  <si>
    <t>Telkom Infra ( 4 Lokasi : TTC BSD, Gatot Subroto, TBS, Buaran )</t>
  </si>
  <si>
    <t>TTC TBS Pekerjaan Pemeliharaan @ 1x2.000.000, Dismantle Only TTC TBS Persiapan Pekerjaan @ 2x2.000.000, TTC TBS Pekerjaan Persiapan @ 7x2.000.000, TTC TBS Pekerjaan Installation @ 7x1.000.000, TTC TBS Pekerjaan Installation @ 14x5.000.000, TTC TBS Pekerjaan Installation @ 7x30.000.000, TTC TBS Pekerjaaan Delivery &amp; Material @ 7x1.000.000, TTC TBS Pekerjaan Pengadaan AC @ 7x126.900.000, TTC TBS Pekerjaan Persiapan @ 7x2.000.000</t>
  </si>
  <si>
    <t>Lunas 16-Jan-25 ( Maybank )</t>
  </si>
  <si>
    <t>PPh 51.387 ( 2.569.338 x 2% )</t>
  </si>
  <si>
    <t>PPh 91.200 ( 4.560.000 x 2% )</t>
  </si>
  <si>
    <t>PPh 3.540 ( 177.000 x 2% )</t>
  </si>
  <si>
    <t>PPh 90.360 ( 4.518.000 x 2% )</t>
  </si>
  <si>
    <t>PPh 91.050 ( 4.552.500 x 2% )</t>
  </si>
  <si>
    <t>PPh 151.470 ( 7.573.500 x 2% )</t>
  </si>
  <si>
    <t>Lunas 15-Jan-25 ( Maybank )</t>
  </si>
  <si>
    <t>PPh 117.000 ( 5.850.000 x 2% )</t>
  </si>
  <si>
    <t>PPh 15.600 ( 780.000 x 2% )</t>
  </si>
  <si>
    <t>PPh 90.000 ( 4.500.000 x 2% )</t>
  </si>
  <si>
    <t>PPh 21.780 ( 1.089.000 x 2% )</t>
  </si>
  <si>
    <t>Lunas 17-Jan-25 ( Maybank )</t>
  </si>
  <si>
    <t>Altros Teknologi ( Bank Victoria )</t>
  </si>
  <si>
    <t>AT/PO/2024-09/883/TUB</t>
  </si>
  <si>
    <t>Termin Ke-2 Extended Warranty : Bank Victoria ( Graha BIP Lt. 9 ), Model : Coolblade SAO, Brand : Climaveneta, 4 Timis visit / Year @ 1x40.000.000</t>
  </si>
  <si>
    <t>Kimsan Inovasi Mitrasentosa</t>
  </si>
  <si>
    <t>Kimsan Inovasi Mitrasentosa ( PSN )</t>
  </si>
  <si>
    <t>094/KIM-PO/VIII/2023</t>
  </si>
  <si>
    <t>Termin Ke-14 Climaveneta SAU 025M @ 24x217.763.077, Climaveneta SAU 030 @ 2x217.763.077</t>
  </si>
  <si>
    <t>Sensor Humadity Carel @ 1x6.500.000</t>
  </si>
  <si>
    <t>028/KIM-PO/X/2024</t>
  </si>
  <si>
    <t>Tifa Arum Realty</t>
  </si>
  <si>
    <t>Termin Ke-1 Preventive Maintenance Chiller Climaveneta Kapasitas 400 TR @ 1x19.760.000</t>
  </si>
  <si>
    <t>001/TUP-PKS/X/2024</t>
  </si>
  <si>
    <t>Kompas Media Nusantara</t>
  </si>
  <si>
    <t>Termin Ke-1 Preventive Maintenance Chiller Climaveneta @ 1x88.000.000</t>
  </si>
  <si>
    <t>050/TUP-PKS/X/2024</t>
  </si>
  <si>
    <t>0031/TUP-INV/I/2025</t>
  </si>
  <si>
    <t>0032/TUP-INV/I/2025</t>
  </si>
  <si>
    <t>0033/TUP-INV/I/2025</t>
  </si>
  <si>
    <t>0034/TUP-INV/I/2025</t>
  </si>
  <si>
    <t>Eaton Industries ( H2-01 Phase 3 &amp; 4 )</t>
  </si>
  <si>
    <t>Delivery and Unloading UPS Phase 3 dan 4 @ 4x15.000.000, 6x15.000.000, Assembly &amp; Installation UPM to Frame UPS Phase 3 dan 4 @ 4x20.000.000, 6x20.000.000, Positioning UPS until final position Phase 3 dan 4 @ 4x15.000.000, 6x15.000.000, UPS Base Frame Phase 3 dan 4 @ 4x15.000.000, 6x15.000.000</t>
  </si>
  <si>
    <t>Eaton Industries ( STT Phase 3 )</t>
  </si>
  <si>
    <t>Land transportation &amp; positioning of UPS @ 18x24.194.444, 7x11.375.000, Installation of Litium rack &amp; battery mo @ 7x35.000.000, 7x15.000.000</t>
  </si>
  <si>
    <t>BCB Panel @ 18x90.000.000, 7x25.000.000</t>
  </si>
  <si>
    <t>Eaton Industries ( DCI JK6 Phase 2 )</t>
  </si>
  <si>
    <t>UPS Base Frame @ 6x15.000.000</t>
  </si>
  <si>
    <t>UPS Base Frame @ 12x15.000.000, 4x15.000.000</t>
  </si>
  <si>
    <t>Eaton Industries ( DCI JK6 Phase 1 )</t>
  </si>
  <si>
    <t>Eaton Industries ( DCI JK3 Phase 4 )</t>
  </si>
  <si>
    <t>Delivery and Unloading UPS @ 1x.17.500.000, Assembly &amp; Installation UPM to Frame UPS @ 10x20.000.000, Positioning UPS until final position @ 10x15.000.000</t>
  </si>
  <si>
    <t>UPS Base Frame @ 10x15.000.000</t>
  </si>
  <si>
    <t>Eaton Industries ( BDDC HDC Phase 2 )</t>
  </si>
  <si>
    <t>Delivery of UPS unit to site @ 2x45.000.000</t>
  </si>
  <si>
    <t>HK Realtindo ( HK Tower )</t>
  </si>
  <si>
    <t>Mora Telematika Indonesia ( NDC Batam )</t>
  </si>
  <si>
    <t>0035/TUP-INV/II/2025</t>
  </si>
  <si>
    <t>0036/TUP-INV/II/2025</t>
  </si>
  <si>
    <t>0037/TUP-INV/II/2025</t>
  </si>
  <si>
    <t>0038/TUP-INV/II/2025</t>
  </si>
  <si>
    <t>Billing ID-C3527</t>
  </si>
  <si>
    <t>Termin Ke-3 Maintenance Chiller @ 3x30.000.000, Maintenance Pump @ 6x23.000.000, Maintenance Cooling Tower @ 3x30.000.000, Maintenance PAC @ 25x7.000.000, Water Treatment Routine Dose Condensor @ 12x15.925.000, Water Treatment Routine Chiller @ 3x503.800, Water Treatment Service Maintenance @ 12x2.666.667, Water Treatment On Site Water Test @ 12x666.667</t>
  </si>
  <si>
    <t>069/KD.ASM/BMHKT/PERJ.37/IX/2024</t>
  </si>
  <si>
    <t>Checking and Troubleshooting @ 1x1.000.000, Service &amp; Sparepart replacement fee : Terminal Blok R-S-T (Fire Reason), Sjun on the R Cable, RST Cable bolt tightening of main panel @ 1x1.000.000</t>
  </si>
  <si>
    <t>PO23234</t>
  </si>
  <si>
    <t>Termin Ke-2 Preventive Maintenance Chiller 1 &amp; 2, Pompa CWP &amp; CHWP, Controller</t>
  </si>
  <si>
    <t>Termin Ke-1 90% PAC Climaveneta @ 6x380.000.000, Material Installasi PAC @ 6x83.000.000, Jasa Instalasi dan Testing Commissioning @ 6x48.000.000</t>
  </si>
  <si>
    <t>Nippon Shokubai Indonesia ( Cilegon )</t>
  </si>
  <si>
    <t>0039/TUP-INV/II/2025</t>
  </si>
  <si>
    <t>Periodical Inspection UQ-2150 @ 1x28.000.000</t>
  </si>
  <si>
    <t>Sebra Cipta Mandiri ( PJB Malang )</t>
  </si>
  <si>
    <t>0040/TUP-INV/II/2025</t>
  </si>
  <si>
    <t>Hermetic Filter Dryer DML 0845 2.23foz MAP/MWP-667 psi/46 bar @ 1x1.500.000, Freon R410 @ 2x1.750.000, Material Support ( Oli, Kawat Las, Borak ) @ 1x2.500.000, Compressor Copeland ZP61KCE @ 1x14.500.000</t>
  </si>
  <si>
    <t>012/TUP-PLM/I/2025</t>
  </si>
  <si>
    <t>Raya Bumi Nusantara Permai ( Icon Mall Gresik )</t>
  </si>
  <si>
    <t>0041/TUP-INV/II/2025</t>
  </si>
  <si>
    <t>1086/PO-RBNP.BM/XII/2024</t>
  </si>
  <si>
    <t>Termin Ke-2 50% TECS W3903L S/N 100089241 Part EEV Pluger (Egv) @ 1x37.000.000</t>
  </si>
  <si>
    <t>Samsung Electronics Indonesia ( Samsung GKBI )</t>
  </si>
  <si>
    <t>0042/TUP-INV/II/2025</t>
  </si>
  <si>
    <t>PO24171885</t>
  </si>
  <si>
    <t>Termin Ke-1 Maintenance Service UPS Periode Jan'25 @ 3x2.600.000</t>
  </si>
  <si>
    <t>Indosat ( Pertamina PSDC Y3 )</t>
  </si>
  <si>
    <t>0043/TUP-INV/II/2025</t>
  </si>
  <si>
    <t>Maintenance Service PAC, DCIM &amp; UPS @ 12x62.500.000</t>
  </si>
  <si>
    <t>Lunas 24-Jan-25 ( Maybank )</t>
  </si>
  <si>
    <t>PPh 2%</t>
  </si>
  <si>
    <t>Indosat ( Pertamina PSDC Y4 )</t>
  </si>
  <si>
    <t>0044/TUP-INV/II/2025</t>
  </si>
  <si>
    <t>Termin Ke-1 Maintenance Service PSDC @ 12x62.500.000</t>
  </si>
  <si>
    <t>Cahaya Mutiara Mandiri ( Paniki )</t>
  </si>
  <si>
    <t>0045/TUP-INV/II/2025</t>
  </si>
  <si>
    <t>Pelunasan 70% Material PAC @ 1x718.000.000, Jasa PAC @ 1x55.000.000</t>
  </si>
  <si>
    <t>0025R1-C76PO-CMM-PWR6-0324</t>
  </si>
  <si>
    <t>0046/TUP-INV/II/2025</t>
  </si>
  <si>
    <t>0047/TUP-INV/II/2025</t>
  </si>
  <si>
    <t>PO22521</t>
  </si>
  <si>
    <t>Pelunasan 70% Climaveneta for Chiller 2, Compressor 2 @ 1x150.000.000, KIT - Module Backplane Assembly 100021-2 @ 1x40.000.000, Diskon @ 1x30.000.000</t>
  </si>
  <si>
    <t>Temperature Sensor NTC060WF00 6mt-50-105C @ 1x4.000.000</t>
  </si>
  <si>
    <t>PO23252</t>
  </si>
  <si>
    <t>0048/TUP-INV/II/2025</t>
  </si>
  <si>
    <t>0049/TUP-INV/II/2025</t>
  </si>
  <si>
    <t>Pelunasan 20% TECS W3903L S/N 100089241 Part EEV Pluger (Egv) @ 1x37.000.000</t>
  </si>
  <si>
    <t>Refrigerant Recovery Work @ 1x32.000.000, Transportasi &amp; Akomodasi 2 Teknisi @ 1x15.000.000</t>
  </si>
  <si>
    <t>1120/PO-RBNP.BM/I/2025</t>
  </si>
  <si>
    <t>Montd'or Oil Tungkal Limited</t>
  </si>
  <si>
    <t>0050/TUP-INV/II/2025</t>
  </si>
  <si>
    <t>0052/TUP-INV/II/2025</t>
  </si>
  <si>
    <t>0051/TUP-INV/II/2025</t>
  </si>
  <si>
    <t>Termin Ke-15 Climaveneta SAU 025M @ 24x217.763.077, Climaveneta SAU 030 @ 2x217.763.077</t>
  </si>
  <si>
    <t>DP 20% DAU 100M @ 3x370.000.000</t>
  </si>
  <si>
    <t>FJK-PO/1056/X/2024</t>
  </si>
  <si>
    <t>017-24-TU</t>
  </si>
  <si>
    <t>Termin Ke-3 PAC Climaveneta 17Kw 2 Unit @ 4x8.000.000, UPS 10Kva @ 4x3.000.000</t>
  </si>
  <si>
    <t>0053/TUP-INV/II/2025</t>
  </si>
  <si>
    <t>Termin Ke-1 Preventive Maintenance HVAC 2025 Periode Jan'25 @ 1x729.000.000</t>
  </si>
  <si>
    <t>PO25002184</t>
  </si>
  <si>
    <t>0054/TUP-INV/II/2025</t>
  </si>
  <si>
    <t>0055/TUP-INV/II/2025</t>
  </si>
  <si>
    <t>0056/TUP-INV/II/2025</t>
  </si>
  <si>
    <t>0057/TUP-INV/II/2025</t>
  </si>
  <si>
    <t>0058/TUP-INV/II/2025</t>
  </si>
  <si>
    <t>0059/TUP-INV/II/2025</t>
  </si>
  <si>
    <t>0060/TUP-INV/II/2025</t>
  </si>
  <si>
    <t>0061/TUP-INV/II/2025</t>
  </si>
  <si>
    <t>0062/TUP-INV/II/2025</t>
  </si>
  <si>
    <t>0063/TUP-INV/II/2025</t>
  </si>
  <si>
    <t>0064/TUP-INV/II/2025</t>
  </si>
  <si>
    <t>Delivery and Unloading UPS 12x25.000.000, 4x25.000.000, Assembly &amp; Installation UPM to Frame UPS @ 12x35.000.000, 4x35.000.000, Positioning UPS until final position @ 12x30.000.000, 4x30.000.000</t>
  </si>
  <si>
    <t>Delivery and Unloading UPS @ 6x25.000.000, Assembly &amp; Installation UPM to Frame UPS @ 6x35.000.000, Positioning UPS until final position @6x30.000.000</t>
  </si>
  <si>
    <t>Eaton Industries ( BDX CGK2 )</t>
  </si>
  <si>
    <t>Loadbank 1500kVA and operator @ 1x680.000.000, DC Panel @ 325.000.000</t>
  </si>
  <si>
    <t>Eaton Industries ( STT Phase 2 Additional Loadbank )</t>
  </si>
  <si>
    <t>Loadbank @ 1x700.000.000</t>
  </si>
  <si>
    <t>Eaton Industries ( Digital Edge 2 Phase 2 )</t>
  </si>
  <si>
    <t>Transport to site @ 14x35.000.000, 1x30.000.000, 2x30.000.000</t>
  </si>
  <si>
    <t>Installation UPS @ 14x50.000.000, 1x45.000.000, Installation of litium rack &amp; battery mo @ 14x60.000.000, 1x50.000.000, 2x45.000.000, Positioning @ 14x40.000.000, 1x35.000.000, 2x35.000.000, Provision Manpower @ 14x65.000.000, 1x50.000.000, 2x50.000.000</t>
  </si>
  <si>
    <t>Installation &amp; Positioning of UPS, Visio @ 3x45.000.000, 3x45.000.000, Coordination &amp; Project management @ 3x25.000.000, 3x25.000.000, To Provide engineer to supervise SAT tot @ 3x35.000.000, 3x35.000.000, Delivery of UPS unit to site @ 3x35.000.000</t>
  </si>
  <si>
    <t>Sparindo Alfa Persada ( BPDPKS )</t>
  </si>
  <si>
    <t>Pemindahan Jalur Instalasi Pipa Mainline AC VRF lt. 3 @ 1x51.000.000</t>
  </si>
  <si>
    <t>LPO/OS/SAP/0040/25</t>
  </si>
  <si>
    <t>Utama Jaya Wisesa ( BCA Syariah Jatinegara )</t>
  </si>
  <si>
    <t>007/PO-UJW/XI/24</t>
  </si>
  <si>
    <t>UPS Eaton 60Kva, Eaton 93E, Input dan Output Ph+N+PE, Battery Continuental for 60 Kva, MBS, Redundant System, Distributed Paralel with hot sync technology @ 2x185.000.000</t>
  </si>
  <si>
    <t>Mora Telematika Indonesia ( NDC Medan )</t>
  </si>
  <si>
    <t>Termin Ke-2 65% PAC DX Air Cooled Capacity 38.5 Kw @ 2x260.000.000, Installation Material @ 2x70.000.000, Service : CFD Simulation, Delivery, Mobilization, Installation, Test and Commissioning, Preventive maintenance during the warranty period @ 1x40.000.000</t>
  </si>
  <si>
    <t>Westindo Esa Perkasa ( TTC BSD )</t>
  </si>
  <si>
    <t>POSTK24101340</t>
  </si>
  <si>
    <t>Pelunasan 80% Chiller Climaveneta ERACS2102C-B @ 1x2.082.500.000</t>
  </si>
  <si>
    <t>Indokomas Buana Perkasa ( JKT02 )</t>
  </si>
  <si>
    <t>0066/TUP-INV/III/2025</t>
  </si>
  <si>
    <t>Termin Ke-3 PM Direct Outside Air Supply (DOAS) @ 7x3.215.000, PM Fan Coil Unit @ 53x3.215.000, PM Condenser Water System (WCCU) @ 14x17.500.000</t>
  </si>
  <si>
    <t>0065/TUP-INV/III/2025</t>
  </si>
  <si>
    <t>Pelunasan Maintenance Chiller @ 3x30.000.000, Maintenance Pump @ 6x23.000.000, Maintenance Cooling Tower @ 3x30.000.000, Maintenance PAC @ 25x7.000.000, Water Treatment Routine Dose Condensor @ 12x15.925.000, Water Treatment Routine Chiller @ 3x503.800, Water Treatment Service Maintenance @ 12x2.666.667, Water Treatment On Site Water Test @ 12x666.667</t>
  </si>
  <si>
    <t>Lunas 03-Mar-25 ( Maybank )</t>
  </si>
  <si>
    <t>BPK</t>
  </si>
  <si>
    <t>0067/TUP-INV/III/2025</t>
  </si>
  <si>
    <t>Termin Ke-1 Maintenance PAC @ 4x4.250.000, In Row @ 2x3.500.000, UPS IT @ 2x6.000.000, UPS Staging @ 2x2.500.000, FM @ 1X5.000.000</t>
  </si>
  <si>
    <t>34/SPK/PPK/X.5/02/2025</t>
  </si>
  <si>
    <t>Otoritas Jasa Keuangan ( OJK Surabaya )</t>
  </si>
  <si>
    <t>0068/TUP-INV/III/2025</t>
  </si>
  <si>
    <t>Preventive Maintenance 5 Unit PAC @ 1x45.791.552</t>
  </si>
  <si>
    <t>S-18/KO.143210/2025</t>
  </si>
  <si>
    <t>Lunas 10-Mar-25 ( Maybank )</t>
  </si>
  <si>
    <t>Termin Ke-16 Climaveneta SAU 025M @ 24x217.763.077, Climaveneta SAU 030 @ 2x217.763.077</t>
  </si>
  <si>
    <t>Kimsan Inovasi Mitrasentosa ( BCA Syariah )</t>
  </si>
  <si>
    <t>0070/TUP-INV/III/2025</t>
  </si>
  <si>
    <t>0069/TUP-INV/III/2025</t>
  </si>
  <si>
    <t>DP 10% PAC Downflow Climaveneta SAU 013 @ 3x106.000.000</t>
  </si>
  <si>
    <t>042/KIM-PO/XI/2024</t>
  </si>
  <si>
    <t>0071/TUP-INV/III/2025</t>
  </si>
  <si>
    <t>Batterai FM 7ah @ 2x300.000, Fan Outdoor Ziehl-Abegg THCL155 IP54 @ 1x8.300.000</t>
  </si>
  <si>
    <t>022/TUP-PLM/II/2025</t>
  </si>
  <si>
    <t>0072/TUP-INV/III/2025</t>
  </si>
  <si>
    <t>0073/TUP-INV/III/2025</t>
  </si>
  <si>
    <t>0074/TUP-INV/III/2025</t>
  </si>
  <si>
    <t>0075/TUP-INV/III/2025</t>
  </si>
  <si>
    <t>0076/TUP-INV/III/2025</t>
  </si>
  <si>
    <t>0077/TUP-INV/III/2025</t>
  </si>
  <si>
    <t>0078/TUP-INV/III/2025</t>
  </si>
  <si>
    <t>0079/TUP-INV/III/2025</t>
  </si>
  <si>
    <t>Fan OD Axial EBM A6E560 for M22 @ 1x7.000.000, Freon R410 @ 18x1.950.000, Kawat Las Perak @ 75x5.250, Sensor M High Pressure 26.5 Bar @ 1x230.000, V-Belt A43 @ 1x27.500, Filter Dryer @ 9x750.000, Freon R410A @ 27x1.950.000, Ekspansion Valve E2V @ 1x2.000.000, Nitrogen @ 11x100.000, Oli Emkarate @ 10x1.700.000, Pentil @ 52x10.000, ATS @ 2x6.000.000</t>
  </si>
  <si>
    <t>POL/2024/00022</t>
  </si>
  <si>
    <t>Pelunasan 80% Module Backplane Assembly @ 1x35.700.000, Module Soft Start Upgrade @ 1x70.250.000, BMCC @ 1x116.871.000, Sensor Pressure/Temperature Discharge @ 1x12.159.000</t>
  </si>
  <si>
    <t>PAR-21-MAA-N @ 16X2.006.000, PKFY-P20VLM-E.TH @ 5X8.875.000, PKFY-P25VLM @ 5X6.310.000, PUCY-P500YKE.TH @ 1X100.619.000, PLFY-P50VFM-E1R1.TH @ 3X12.603.000, PLFY-P63VEM-PA.TH @ 3X11.731.000, CMY-Y102LS-G2 @ 1X1.570.100, CMY-Y102SS-G2 @ 8X1.571.000, CMY-Y102SS @ 5X1.570.100, CMM-Y202S-G2 @ 1X1.979.000</t>
  </si>
  <si>
    <t>LPO/OS/SAP/0072/25</t>
  </si>
  <si>
    <t>MJ-JR18 Non Inverter @ 3x7.500.000</t>
  </si>
  <si>
    <t>LPO/OS/SAP/0074/25</t>
  </si>
  <si>
    <t>Limawira Wisesa ( BPDPKS )</t>
  </si>
  <si>
    <t>Pekerjaan Instalasi AC VRF Lt. 3 &amp; 3A @ 1x250.000.000</t>
  </si>
  <si>
    <t>LPO/FF/PQ.0026/2025</t>
  </si>
  <si>
    <t>LPO/FF/PQ.0025/2025</t>
  </si>
  <si>
    <t>Adhi Trikarya Mandiri ( RSPP )</t>
  </si>
  <si>
    <t>025/PO-ATM/III/2025</t>
  </si>
  <si>
    <t>Condensor C24 Climaveneta @ 1x18.000.000</t>
  </si>
  <si>
    <t>026/KIM-PO/III/2025</t>
  </si>
  <si>
    <t>Telkom Infra ( TTC Buaran )</t>
  </si>
  <si>
    <t>Pekerjaan Persiapan PAC @ 3x2.000.000, PAC Inrow 35 KW @ 3x158.000.000, Delivery Material Handling PAC @ 3x1.000.000, Installation &amp; Test Commisioning @ 3x30.000.000, Installation Material Kabel Power @ 6x5.000.000, Installation Material Kabel Grounding @ 3x1.000.000, Pemeliharaan Rutin 2 Tahun @ 3x2.000.000</t>
  </si>
  <si>
    <t>DP 30% PAC DAU 045-M @ 1x270.000.000, Copper Pipe 2x1/2" c/w @ 33x393.000, Copper Pipe 2x3/4" c/w @ 33x582.000, Refrigerant R410A @ 3x3.077.000, Oli Kompressor @ 2x1.058.000, Pipa PVC Drain c/w Insulation @ 1x3.231.000, Kabel Power NYY 4x16mm2 + NYA 16mm2 @ 33x462.000, Kabel Control NYY 3x2.5mm2 @ 39x77.000, Cable Tray 200mmx100mm @ 30x602.000, Baseframe 1x3.462.000, Supply/Return Air Duct @ 1x3.426.100, Support &amp; Material Bantu @ 1x4.245.100, Positioning PAC @ 1x4.245.100, Testing &amp; Commissioning @ 1x4.000.000, Bongkar Unit Existing @ 1x8.445.100</t>
  </si>
  <si>
    <t>0081/TUP-INV/III/2025</t>
  </si>
  <si>
    <t>0082/TUP-INV/III/2025</t>
  </si>
  <si>
    <t>0083/TUP-INV/III/2025</t>
  </si>
  <si>
    <t>0084/TUP-INV/III/2025</t>
  </si>
  <si>
    <t>0085/TUP-INV/III/2025</t>
  </si>
  <si>
    <t>0086/TUP-INV/III/2025</t>
  </si>
  <si>
    <t>0087/TUP-INV/III/2025</t>
  </si>
  <si>
    <t>0088/TUP-INV/III/2025</t>
  </si>
  <si>
    <t>0089/TUP-INV/III/2025</t>
  </si>
  <si>
    <t>DP 30% Material PAC @ 1x449.800.000, Jasa PAC @ 1x19.200.000</t>
  </si>
  <si>
    <t>0055-C70PO-CMM-PWR20-0325</t>
  </si>
  <si>
    <t>0056-C70PO-CMM-PWR20-0325</t>
  </si>
  <si>
    <t>0057-C70PO-CMM-PWR20-0325</t>
  </si>
  <si>
    <t>0058-C70PO-CMM-PWR20-0325</t>
  </si>
  <si>
    <t>0059-C70PO-CMM-PWR20-0325</t>
  </si>
  <si>
    <t>0060-C70PO-CMM-PWR20-0325</t>
  </si>
  <si>
    <t>0061-C70PO-CMM-PWR20-0325</t>
  </si>
  <si>
    <t>0062-C70PO-CMM-PWR20-0325</t>
  </si>
  <si>
    <t>Cahaya Mutiara Mandiri ( Kendari )</t>
  </si>
  <si>
    <t>DP 30% Material PAC @ 1x468.475.000, Jasa PAC @ 1x19.575.000</t>
  </si>
  <si>
    <t>Cahaya Mutiara Mandiri ( Purwokerto )</t>
  </si>
  <si>
    <t>DP 30% Material PAC @ 1x245.725.000, Jasa PAC @ 1x12.640.000</t>
  </si>
  <si>
    <t>Cahaya Mutiara Mandiri ( Pekalongan )</t>
  </si>
  <si>
    <t>DP 30% Material PAC @ 1x278.535.000, Jasa PAC @ 1x36.275.000</t>
  </si>
  <si>
    <t>Cahaya Mutiara Mandiri ( Kotabaru )</t>
  </si>
  <si>
    <t>DP 30% Material PAC @ 1x254.180.100, Jasa PAC @ 1x14.518.000</t>
  </si>
  <si>
    <t>Cahaya Mutiara Mandiri ( Palembang Centrum )</t>
  </si>
  <si>
    <t>DP 30% Material PAC @ 1x224.900.000, Jasa PAC @ 1x9.600.000</t>
  </si>
  <si>
    <t>Cahaya Mutiara Mandiri ( Jember )</t>
  </si>
  <si>
    <t>NPS Pemuda Berdikarisma ( Diskominfo )</t>
  </si>
  <si>
    <t>0090/TUP-INV/III/2025</t>
  </si>
  <si>
    <t>Axial Fan Weiguang YWF4E-630-S-137/07-G, 1 Phase, Diameter 630 mm @ 1x5.350.000</t>
  </si>
  <si>
    <t>09-433/NPS/III/25</t>
  </si>
  <si>
    <t>Lunas 03-Feb-25 ( Maybank )</t>
  </si>
  <si>
    <t>Lunas 06-Feb-25 ( Maybank )</t>
  </si>
  <si>
    <t>PPh 1.75%</t>
  </si>
  <si>
    <t>Lunas 10-Feb-25 ( Maybank )</t>
  </si>
  <si>
    <t>Lunas 13-Feb-25 ( Maybank )</t>
  </si>
  <si>
    <t>Lunas 14-Feb-25 ( Maybank )</t>
  </si>
  <si>
    <t>Lunas 18-Feb-25 ( Maybank )</t>
  </si>
  <si>
    <t>Admin 2.900</t>
  </si>
  <si>
    <t>Lunas 28-Feb-25 ( Maybank )</t>
  </si>
  <si>
    <t>PPh = 770.000 ( 38.500.000 x 2% )</t>
  </si>
  <si>
    <t>Cahaya Mutiara Mandiri ( Jatinegara )</t>
  </si>
  <si>
    <t>0091/TUP-INV/III/2025</t>
  </si>
  <si>
    <t>0092/TUP-INV/III/2025</t>
  </si>
  <si>
    <t>0093/TUP-INV/III/2025</t>
  </si>
  <si>
    <t>DP 30% Material PAC @ 1x2.453.774.000, Jasa PAC @ 1x195.500.000</t>
  </si>
  <si>
    <t>0068-C70PO-CMM-PWR20-0325</t>
  </si>
  <si>
    <t>09-435/NPS/III/25</t>
  </si>
  <si>
    <t>Kimia Farma ( Plant Jakarta )</t>
  </si>
  <si>
    <t>Termin Ke-1 20% Perbaikan Chiller 2 Non Betalaktam @ 1x950.000.000</t>
  </si>
  <si>
    <t>Lunas 21-Mar-25 ( Maybank )</t>
  </si>
  <si>
    <t>Lunas 24-Mar-25 ( Maybank )</t>
  </si>
  <si>
    <t>Lunas 13-Mar-25 ( Maybank )</t>
  </si>
  <si>
    <t>PPh = 115.200 ( 5.760.000 x 2% )</t>
  </si>
  <si>
    <t>PPh = 117.450 ( 5.872.500 x 2% )</t>
  </si>
  <si>
    <t>PPh = 75.840 ( 3.792.000 x 2% )</t>
  </si>
  <si>
    <t>PPh = 217.650 ( 10.882.500 x 2% )</t>
  </si>
  <si>
    <t>PPh = 87.108 ( 4.355.400 x 2% )</t>
  </si>
  <si>
    <t>PPh = 57.600 ( 2.880.000 x 2% )</t>
  </si>
  <si>
    <t>PPh = 1.173.000 ( 58.650.000 x 2% )</t>
  </si>
  <si>
    <t>Wijaya Wahyu Abadi ( Rumah AC Jatiasih )</t>
  </si>
  <si>
    <t>0094/TUP-INV/III/2025</t>
  </si>
  <si>
    <t>Pressure Sensor Climaveneta PAC 77CP055M045NAAOC, 0-45 Bar, 2-20 mA @ 1x1.700.000</t>
  </si>
  <si>
    <t>287/PO/WWA/III/2025</t>
  </si>
  <si>
    <t>Lunas 25-Mar-25 ( Maybank )</t>
  </si>
  <si>
    <t>Lunas 26-Mar-25 ( Maybank )</t>
  </si>
  <si>
    <t>Lunas 17-Mar-25 ( Maybank )</t>
  </si>
  <si>
    <t>PPh = 112.000.000 x 1.75% = 1.960.000</t>
  </si>
  <si>
    <t>PPh = 4.000.000 x 1.75% = 70.000</t>
  </si>
  <si>
    <t>0095/TUP-INV/III/2025</t>
  </si>
  <si>
    <t>0096/TUP-INV/III/2025</t>
  </si>
  <si>
    <t>0097/TUP-INV/III/2025</t>
  </si>
  <si>
    <t>DC Cabling @ 14x519.917.568, 1x350.000.000, 2x15.000.000, Syn and comm cable @ 14x35.626.952, 1x35.626.952, DC Cable Ladder UPS to Battery Rack @ 14x35.626.952, 1x15.000.000</t>
  </si>
  <si>
    <t xml:space="preserve">Syn and comm cable @ 2x350.000.000, DC Cable Ladder UPS to Battery Rack @ 2x15.000.000  </t>
  </si>
  <si>
    <t>Glant Plate Alumunium @ 14x20.000.000, 1x20.000.000, 2x20.000.000</t>
  </si>
  <si>
    <t>Fajar Kreasindo ( Omni Data Center )</t>
  </si>
  <si>
    <t>Potong dari Tagihan PO No. PO/TUP/X/23-0014</t>
  </si>
  <si>
    <t>Lunas 11-Apr-25 ( Maybank )</t>
  </si>
  <si>
    <t>Instalasi Precision Air Conditioning Unit (Existing) @ 1x315.250.000, Diskon @ 1x25.250.000</t>
  </si>
  <si>
    <t>Lunas 07-Mar-25 ( Maybank )</t>
  </si>
  <si>
    <t>PPh 1.75% = 35.000</t>
  </si>
  <si>
    <t>PPh 1.75% = 3.174.550</t>
  </si>
  <si>
    <t>Cahaya Mutiara Mandiri ( Bukit Dangas )</t>
  </si>
  <si>
    <t>0080/TUP-INV/IV/2025</t>
  </si>
  <si>
    <t>0098/TUP-INV/IV/2025</t>
  </si>
  <si>
    <t>0099/TUP-INV/IV/2025</t>
  </si>
  <si>
    <t>0100/TUP-INV/IV/2025</t>
  </si>
  <si>
    <t>0101/TUP-INV/IV/2025</t>
  </si>
  <si>
    <t>0102/TUP-INV/IV/2025</t>
  </si>
  <si>
    <t>0103/TUP-INV/IV/2025</t>
  </si>
  <si>
    <t>Reposisi Outdoor AC Split @ 4x350.000</t>
  </si>
  <si>
    <t>0065-C70PO-CMM-PWr18-0225</t>
  </si>
  <si>
    <t>Refrigerant R410A @ 12x2.500.000</t>
  </si>
  <si>
    <t>LPO/FF/PQ.0095/2025</t>
  </si>
  <si>
    <t>Pelunasan Termin Ke-4 Jasa PM Climaveneta SCU180MEX S/N : A2110002039, A211002038, A211002037, A211002036 @ 4x10.800.000</t>
  </si>
  <si>
    <t>Pelunasan 70% Material PAC @ 1x899.600.000, Instalasi PAC @ 1x38.400.000</t>
  </si>
  <si>
    <t>0032-C70PO-CMM-PWR18-1124</t>
  </si>
  <si>
    <t>Pelunasan 70% Material PAC @ 1x50.765.935, Jasa PAC @ 1x5.717.169</t>
  </si>
  <si>
    <t>0015-C70PO-CMM-PWR18-1224</t>
  </si>
  <si>
    <t>Termin Ke-2 Preventive Maintenance Chiller Climaveneta Kapasitas 400 TR @ 1x19.760.000</t>
  </si>
  <si>
    <t>Electric Expansion Valve Connecting Wire E2VCABS600 @ 1x2.500.000</t>
  </si>
  <si>
    <t>014/TAR/Purch/II/25</t>
  </si>
  <si>
    <t>PPh = 3.747.060 x 2% = 74.941</t>
  </si>
  <si>
    <t>Admin 6.500</t>
  </si>
  <si>
    <t>Lunas 06-Mar-25 ( Maybank )</t>
  </si>
  <si>
    <t>PPh 1.75% = 21.285.250 + PPN = 133.793.000 + Admin 30.000</t>
  </si>
  <si>
    <t>Lunas 12-Mar-25 ( Maybank )</t>
  </si>
  <si>
    <t>Lunas 20-Mar-25 ( Maybank )</t>
  </si>
  <si>
    <t>Admin 30.000</t>
  </si>
  <si>
    <t>Lunasn 21-Mar-25 ( Maybank )</t>
  </si>
  <si>
    <t>PPh 2% = 920.000 + PPN = 5.060.000</t>
  </si>
  <si>
    <t>Lunas 11-Mar-25 ( Mandiri )</t>
  </si>
  <si>
    <t>PPh 2% = 490.000 + PPn = 2.695.000</t>
  </si>
  <si>
    <t>0104/TUP-INV/IV/2025</t>
  </si>
  <si>
    <t>0105/TUP-INV/IV/2025</t>
  </si>
  <si>
    <t>DP 30% BMCC @ 1x171.966.700, Jasa Pemasangan BMCC @ 1x1.500.000, Diskon @ 1x13.466.700</t>
  </si>
  <si>
    <t>SHR-037-03-25</t>
  </si>
  <si>
    <t>Permata Bank</t>
  </si>
  <si>
    <t>0106/TUP-INV/IV/2025</t>
  </si>
  <si>
    <t>Termin Ke-1 Maintenance Waterleak DC Hayam Wuruk Periode Januari 2025 - Desember 2026</t>
  </si>
  <si>
    <t>718/SKK/CRES-FM/XII/2024</t>
  </si>
  <si>
    <t>KPK</t>
  </si>
  <si>
    <t>0107/TUP-INV/IV/2025</t>
  </si>
  <si>
    <t>Termin 1 Maintenance PAC Gedung Merah Putih ( Jan'25 - Mar'25 ) @ 2x1.931.250 selama 1 tahun</t>
  </si>
  <si>
    <t>SPK/07/025/953/01/2025</t>
  </si>
  <si>
    <t>Cahaya Mutiara Mandiri ( Kebalen Lt. 3 )</t>
  </si>
  <si>
    <t>0108/TUP-INV/IV/2025</t>
  </si>
  <si>
    <t>DP 30% Jasa Pasang + Bongkar AC Standing untuk Backup @ 4x2.500.000</t>
  </si>
  <si>
    <t>0043-C76PO-CMM-PWR19-0425</t>
  </si>
  <si>
    <t>Lunas 17-Apr-25 ( BCA )</t>
  </si>
  <si>
    <t>PPh = 450.000 x 2% = 9.000</t>
  </si>
  <si>
    <t>Lunas 17-Apr-25 ( Maybank )</t>
  </si>
  <si>
    <t>PPh = 543.978.232 x 2% = 10.879.565</t>
  </si>
  <si>
    <t>PPh = 58.000.000 x 2% = 1.160.000</t>
  </si>
  <si>
    <t>Lunas 21-Apr-25 ( Maybank )</t>
  </si>
  <si>
    <t>Lunas 11-Apr-25 ( Mandiri )</t>
  </si>
  <si>
    <t>PPh = 220.000 + PPN = 1.210.000</t>
  </si>
  <si>
    <t>Gunadi ( Cahaya Khatulistiwa )</t>
  </si>
  <si>
    <t>0109/TUP-INV/IV/2025</t>
  </si>
  <si>
    <t>0110/TUP-INV/IV/2025</t>
  </si>
  <si>
    <t>0111/TUP-INV/IV/2025</t>
  </si>
  <si>
    <t>Termin Ke-2 30% PAC DAU 045-M @ 1x270.000.000, Copper Pipe 2x1/2" c/w @ 33x393.000, Copper Pipe 2x3/4" c/w @ 33x582.000, Refrigerant R410A @ 3x3.077.000, Oli Kompressor @ 2x1.058.000, Pipa PVC Drain c/w Insulation @ 1x3.231.000, Kabel Power NYY 4x16mm2 + NYA 16mm2 @ 33x462.000, Kabel Control NYY 3x2.5mm2 @ 39x77.000, Cable Tray 200mmx100mm @ 30x602.000, Baseframe 1x3.462.000, Supply/Return Air Duct @ 1x3.426.100, Support &amp; Material Bantu @ 1x4.245.100, Positioning PAC @ 1x4.245.100, Testing &amp; Commissioning @ 1x4.000.000, Bongkar Unit Existing @ 1x8.445.100</t>
  </si>
  <si>
    <t>Sensor Pressure PAC Climaveneta @ 1x1.700.000</t>
  </si>
  <si>
    <t>PO-0001</t>
  </si>
  <si>
    <t>Lunas 23-Apr-25 ( Permata )</t>
  </si>
  <si>
    <t>Lunas 23-Apr-25 ( Maybank )</t>
  </si>
  <si>
    <t>PPh = 3.000.000 x 2% = 60.000</t>
  </si>
  <si>
    <t>Termin Ke-3 Preventive Maintenance HVAC 2025 Periode Mar'25 @ 1x729.000.000</t>
  </si>
  <si>
    <t>0112/TUP-INV/IV/2025</t>
  </si>
  <si>
    <t>Termin Ke-2 Preventive Maintenance HVAC 2025 Periode Feb'25 @ 1x729.000.000</t>
  </si>
  <si>
    <t>0113/TUP-INV/IV/2025</t>
  </si>
  <si>
    <t>Termin Ke-2 45% PAC Downflow Climaveneta SAU 013 @ 3x106.000.000</t>
  </si>
  <si>
    <t>0114/TUP-INV/IV/2025</t>
  </si>
  <si>
    <t>0115/TUP-INV/IV/2025</t>
  </si>
  <si>
    <t>0116/TUP-INV/IV/2025</t>
  </si>
  <si>
    <t>0117/TUP-INV/IV/2025</t>
  </si>
  <si>
    <t>0118/TUP-INV/IV/2025</t>
  </si>
  <si>
    <t>0119/TUP-INV/IV/2025</t>
  </si>
  <si>
    <t>0120/TUP-INV/IV/2025</t>
  </si>
  <si>
    <t>0121/TUP-INV/IV/2025</t>
  </si>
  <si>
    <t>DC Cabling UPS to BCB Panel (25m) each p @ 18x256.836.722, 7x58.000.000, Interlink cabling BCB Panel to Rack cable @ 18x30.000.000, 7x9.000.000, Sync &amp; communication cable @ 18x5.000.000, 7x5.000.000, Loadbank @ 1x750.000.000</t>
  </si>
  <si>
    <t>Eaton Industries ( DISM H02-01 ( Additional Work )</t>
  </si>
  <si>
    <t>PQA rental for 3 days @ 3x19.500.000, Dismantling positioning &amp; jointing of U @ 10x35.500.000, Installation of 60kW Power Module x 20 m @ 10x28.300.000</t>
  </si>
  <si>
    <t>Eaton Industries ( PDG Mechanical )</t>
  </si>
  <si>
    <t>Installation of 25kW Power Module x 3 mo @ 2x25.000.000, Installation of litium rack &amp; battery module @ 2x25.000.000, Land transportation &amp; positioning of UPS @ 2x20.000.000</t>
  </si>
  <si>
    <t>DC cabling UPS to batt rack (10m) each p @ 2x60.000.000, Sync &amp; communication cable @ 2x20.000.000, Baseframe ups &amp; battery @ 2x15.000.000, Cable from LVMDB to Input Output Panel @ 2x65.000.000, Cable from Input Output Panel to MDS BMS @ 2x65.000.000, Grounding cable, NYA 70 @ 2x40.000.000, Panel IO UPS @ 2x77.500.000, Cable tray 200mm (50m) @ 2x40.000.000, Loadbank @ 1x180.000.000</t>
  </si>
  <si>
    <t>Eaton Industries ( VO Dakota DC Batam )</t>
  </si>
  <si>
    <t>BMS Junction Box Include : Ethernet switches, RJ45 and terminal block = 5 Lot, Battery Room DB Enclosure = 5 Lot, Cabling list will be furbished = 1 Lot, Accessories list furbished = 1 Lot @ 5x135.000.000</t>
  </si>
  <si>
    <t>Early warning thermal runway system rotarex hydrogen detector = 1 Lot @ 5x483.670.600</t>
  </si>
  <si>
    <t>Eaton Industries ( Dakota )</t>
  </si>
  <si>
    <t>VO_2 Fire Suppress' System Room Integ @ 5x85.000.000</t>
  </si>
  <si>
    <t>Eaton Industries ( BDX CKG2 )</t>
  </si>
  <si>
    <t>DC cabling UPS to batt rack (10m) each p @ 1x215.000.000, Baseframe ups &amp; battery @ 2x15.000.000, Panel IO UPS : Main input breaker 4P 20 @ 1x105.000.000, Cable from LVMDB to Input Output Panel @ 1x397.083.333, Cable from Input Output Panel to MDS BMS @ 1x268.580.000, Grounding cable, NYA 70 @ 1x30.750.000, Installation of 25kW Power Module x 3 mo @ 1x30.000.000, Installation of litium rack &amp; battery mo @ 1x30.000.000, Sync &amp; communication cable @ 1x5.000.000, Supply and install cable tray 200mm (50m) @ 1x16.500.000</t>
  </si>
  <si>
    <t>KSO Adhi - Jaya Konstruksi ( OIKN )</t>
  </si>
  <si>
    <t>0045/SPPPP/KSO ADHI - JAYA KONSTRUKSI/PROYEK KONSTRUKSI TERINTEGRASI RANCANG BANGUN PEMBANGUNAN GEDUNG DAN KAWASAN KANTOR OTORITA IKN/IX/2024</t>
  </si>
  <si>
    <t>Progress 100% Instalasi AC Presisi @ 1x200.000.000</t>
  </si>
  <si>
    <t>Retensi 5% Instalasi AC Presisi @ 1x200.000.000</t>
  </si>
  <si>
    <t>0122/TUP-INV/IV/2025</t>
  </si>
  <si>
    <t>0123/TUP-INV/IV/2025</t>
  </si>
  <si>
    <t>0124/TUP-INV/V/2025</t>
  </si>
  <si>
    <t>0125/TUP-INV/V/2025</t>
  </si>
  <si>
    <t>Termin Ke-3 Extended Warranty : Bank Victoria ( Graha BIP Lt. 9 ), Model : Coolblade SAO, Brand : Climaveneta, 4 Timis visit / Year @ 1x40.000.000</t>
  </si>
  <si>
    <t>Pelunasan 40% PAC DAU 045-M @ 1x270.000.000, Copper Pipe 2x1/2" c/w @ 33x393.000, Copper Pipe 2x3/4" c/w @ 33x582.000, Refrigerant R410A @ 3x3.077.000, Oli Kompressor @ 2x1.058.000, Pipa PVC Drain c/w Insulation @ 1x3.231.000, Kabel Power NYY 4x16mm2 + NYA 16mm2 @ 33x462.000, Kabel Control NYY 3x2.5mm2 @ 39x77.000, Cable Tray 200mmx100mm @ 30x602.000, Baseframe 1x3.462.000, Supply/Return Air Duct @ 1x3.426.100, Support &amp; Material Bantu @ 1x4.245.100, Positioning PAC @ 1x4.245.100, Testing &amp; Commissioning @ 1x4.000.000, Bongkar Unit Existing @ 1x8.445.100</t>
  </si>
  <si>
    <t>Cipta Mitra Utama ( Bank Mega Tendean )</t>
  </si>
  <si>
    <t>0126/TUP-INV/V/2025</t>
  </si>
  <si>
    <t>0127/TUP-INV/V/2025</t>
  </si>
  <si>
    <t>Termin Ke-1 Preventive Maintenance UPS Eaton : Model 93PR-175 KVA, Tidak termasuk penggantian sparepart @ 2x16.000.000</t>
  </si>
  <si>
    <t>PO-0401/CMU/IV/2025</t>
  </si>
  <si>
    <t>0128/TUP-INV/V/2025</t>
  </si>
  <si>
    <t>Termin Ke-4 PM Direct Outside Air Supply (DOAS) @ 7x3.215.000, PM Fan Coil Unit @ 53x3.215.000, PM Condenser Water System (WCCU) @ 14x17.500.000</t>
  </si>
  <si>
    <t>Canatec Pte Ltd ( Iris 1 &amp; 3 )</t>
  </si>
  <si>
    <t>002/TUP-INV/V/2025</t>
  </si>
  <si>
    <t>FWU Cooling replacement @ 1x4.500, FWU 20 unit supply and install trunking top and bottom model @ 1x1.800, FWU 56 Unit cooling coil evapurator fin repair top and bottom 1x2.000, Power meter cable replacement and rework FWU 56 unit @ 1x800, FWU 56 unit to supply and install top and site panel screw @ 1x2.500, To supply and install FWU and CRAH @ 1x600, CRAH 12units cooling coil fin repair @ 1x500, FWU 56 unit installation for top and buttom @ 1x4.000, FWU 56 unit to supply top and bottom fan center meterl new @ 1x14.000</t>
  </si>
  <si>
    <t>MEI 20125</t>
  </si>
  <si>
    <t>Lunas 09-Mei-25 ( Maybank )</t>
  </si>
  <si>
    <t>0129/TUP-INV/V/2025</t>
  </si>
  <si>
    <t>0130/TUP-INV/V/2025</t>
  </si>
  <si>
    <t>0131/TUP-INV/V/2025</t>
  </si>
  <si>
    <t>0132/TUP-INV/V/2025</t>
  </si>
  <si>
    <t>Centralized Control @ 1x35.000.000</t>
  </si>
  <si>
    <t>LPO/FF/PQ.0101/2025</t>
  </si>
  <si>
    <t>Termin Ke-2 Preventive Maintenance Chiller Climaveneta @ 1x88.000.000</t>
  </si>
  <si>
    <t>Princeton Digital Group Data Centres</t>
  </si>
  <si>
    <t>Preventive Maintenance February 2024 - January 2025 JCI Cibitung Expand Chiller Water SCU160MEX : 20 Unit, Air Cooled CFD Screw Chiller ERAC S2102C-B-INV : 3 Unit, Climapro : 3 Unit</t>
  </si>
  <si>
    <t>PO0640000983</t>
  </si>
  <si>
    <t>Kimsan Inovasi Mitrasentosa ( Netciti )</t>
  </si>
  <si>
    <t>DP 30% PAC SAU 045M, Outdoor Unit Custom uk. 150 x 100 x 400 cm</t>
  </si>
  <si>
    <t>008/KIM-PO/I/2025</t>
  </si>
  <si>
    <t>Lunas 16-Mei-25 ( Maybank )</t>
  </si>
  <si>
    <t>Lunas 10-Apr-25 ( Maybank )</t>
  </si>
  <si>
    <t>Lunas 14-Apr-25 ( Maybank )</t>
  </si>
  <si>
    <t>Lunas 15-Apr-25 ( Maybank )</t>
  </si>
  <si>
    <t>PPh 1.5% = 133.500 + PPN = 979.000</t>
  </si>
  <si>
    <t>Lunas 24-Apr-25 ( Maybank )</t>
  </si>
  <si>
    <t>PPh 2% = 231.750 + PPn = 1.274.625</t>
  </si>
  <si>
    <t>Lunas 29-Apr-25 ( Maybank )</t>
  </si>
  <si>
    <t>Termin Ke-17 Climaveneta SAU 025M @ 24x217.763.077, Climaveneta SAU 030 @ 2x217.763.077</t>
  </si>
  <si>
    <t>Lunas 19-Mei-25 ( Maybank )</t>
  </si>
  <si>
    <t>Lunas 02-Mei-25 ( Maybank )</t>
  </si>
  <si>
    <t>Telkom Infra ( Hyper Personalization TTC Buaran )</t>
  </si>
  <si>
    <t>0133/TUP-INV/V/2025</t>
  </si>
  <si>
    <t>0134/TUP-INV/V/2025</t>
  </si>
  <si>
    <t>0135/TUP-INV/V/2025</t>
  </si>
  <si>
    <t>0136/TUP-INV/V/2025</t>
  </si>
  <si>
    <t>0137/TUP-INV/V/2025</t>
  </si>
  <si>
    <t>0138/TUP-INV/V/2025</t>
  </si>
  <si>
    <t>0139/TUP-INV/V/2025</t>
  </si>
  <si>
    <t>0140/TUP-INV/V/2025</t>
  </si>
  <si>
    <t>Pekerjaan Persiapan @ 2x2.000.000, PAC In-Row 35 kW @ 2x158.000.000, Delivery &amp; Handling @ 2x1.000.000, Install &amp; TestCom @ 2x30.000.000, InstMat Kabel Power @ 2x5.000.000, InstMat Kabel Grounding @ 2x1.000.000, Pemeliharaan Rutin 2 thn @ 2x2.000.000</t>
  </si>
  <si>
    <t>Pelunasan 70% Material PAC @ 1x9.381.500, Jasa PAC @ 1x25.245.000</t>
  </si>
  <si>
    <t>Pelunasan 70% Material PAC @ 1x336.000.000, Instalasi PAC @ 1x15.000.000</t>
  </si>
  <si>
    <t>0031-C70PO-CMM-PWR18-1124</t>
  </si>
  <si>
    <t>Pelunasan 70% Material PAC @ 1x9.960.000, Jasa PAC @ 1x15.200.000</t>
  </si>
  <si>
    <t>0030-C70PO-CMM-PWR18-1124</t>
  </si>
  <si>
    <t>Pelunasan 70% Material PAC @ 1x224.900.000, Instalasi PAC @ 1x9.600.000</t>
  </si>
  <si>
    <t>0034-C70PO-CMM-PWR18-1124</t>
  </si>
  <si>
    <t>Pelunasan 70% Material PAC @ 1x80.136.900, Jasa PAC @ 1x8.564.460</t>
  </si>
  <si>
    <t>Gedung Bank Exim ( OJK Surabaya )</t>
  </si>
  <si>
    <t>0141/TUP-INV/V/2025</t>
  </si>
  <si>
    <t>Termin Ke-1 Pemeliharaan PAC ruang DRC di Gedung Kantor OJK Surabaya Periode Mei 2025 @ 1x213.468.750</t>
  </si>
  <si>
    <t>026/Kontrak-GBE/V/2025</t>
  </si>
  <si>
    <t>0142/TUP-INV/V/2025</t>
  </si>
  <si>
    <t>Dismantle TTC TBS Pekerjaan Delivery @ 2x1.000.000, TTC BSD Pekerjaan Kabel Grounding @ 5x1.000.000, TTC BSD Pekerjaan Kabel Power @ 5x5.000.000, TTC BSD Pekerjaan Installation @ 5x30.000.000, TTC BSD Pekerjaan Delivery @ 5x1.000.000, TTC BSD Persiapan Pekerjaan @ 5x2.000.000</t>
  </si>
  <si>
    <t>Eaton Industries ( H2-02 Phase 3 &amp; 4 )</t>
  </si>
  <si>
    <t>Eaton Industries ( BNDC )</t>
  </si>
  <si>
    <t>Telkom Infra ( TSA Q3 2024 )</t>
  </si>
  <si>
    <t>0143/TUP-INV/V/2025</t>
  </si>
  <si>
    <t>0144/TUP-INV/V/2025</t>
  </si>
  <si>
    <t>0145/TUP-INV/V/2025</t>
  </si>
  <si>
    <t>0146/TUP-INV/V/2025</t>
  </si>
  <si>
    <t>0147/TUP-INV/V/2025</t>
  </si>
  <si>
    <t>0148/TUP-INV/V/2025</t>
  </si>
  <si>
    <t>Termin Ke-2 80% Jointing material &amp; accessories @ 5x395.000.000</t>
  </si>
  <si>
    <t>Termin Ke-2 80% Training Tx &amp; RMU @ 1x324.000.000, Provide training for PTU @ 1x320.000.000, To Provide SAT for system perform CXL, CXL2 to L5 ( UPS, LV, SWBD, CRAC, KTX and PTU ) @ 1x2.454.464.000</t>
  </si>
  <si>
    <t>Load Bank 2000kW @ 1x1.197.000.000</t>
  </si>
  <si>
    <t>UPS Base Frame @ 12x15.000.000, Delivery and Unloading UPS @ 12x11.000.000, Assembly &amp; Installation UPM to Frame UPS @ 12x15.000.000, Positioning UPS until final position @ 12x11.000.0000</t>
  </si>
  <si>
    <t>Assesment BNDC @ 1x188.768.119</t>
  </si>
  <si>
    <t>Preventive Maintenance Central Area @ 368x450.000, Akomodasi Transport Jabodetabek @ 5x900.000</t>
  </si>
  <si>
    <t>PPh 2% = 4.000.000</t>
  </si>
  <si>
    <t>Lunas 09-Mei-25 &amp; 23-Mei-25 ( Maybank )</t>
  </si>
  <si>
    <t>Lunas 16-Mei-25 &amp; 23-Mei-25 ( Maybank )</t>
  </si>
  <si>
    <t>Lunas 21-Mar-25 &amp; 23-Mei-25 ( Maybank )</t>
  </si>
  <si>
    <t>Lunas 17-Apr-25 &amp; 23-Mei-25 ( Maybank )</t>
  </si>
  <si>
    <t>PPh = 1.020.000</t>
  </si>
  <si>
    <t>Abhimata Acme Indonesia ( STT )</t>
  </si>
  <si>
    <t>0149/TUP-INV/V/2025</t>
  </si>
  <si>
    <t>0150/TUP-INV/V/2025</t>
  </si>
  <si>
    <t>Quarter 1 MECD1501E - Preventive Maintenance 24 Months, Quarterly Service, On Call Service 2 hr in site @ 1x72.000.000, CAHU260 - Preventive Maintenance 24 Months, Quarterly Service, On Call Service 2 hr on site @ 1x750.000.000</t>
  </si>
  <si>
    <t>003/AAI/11/2023</t>
  </si>
  <si>
    <t>35/AAI/06/2024</t>
  </si>
  <si>
    <t xml:space="preserve">Tifa Arum Realty </t>
  </si>
  <si>
    <t>Termin Ke-3 Preventive Maintenance Chiller Climaveneta Kapasitas 400 TR @ 1x19.760.000</t>
  </si>
  <si>
    <t>0151/TUP-INV/VI/2025</t>
  </si>
  <si>
    <t>0153/TUP-INV/VI/2025</t>
  </si>
  <si>
    <t>0154/TUP-INV/VI/2025</t>
  </si>
  <si>
    <t>0155/TUP-INV/VI/2025</t>
  </si>
  <si>
    <t>0156/TUP-INV/VI/2025</t>
  </si>
  <si>
    <t>0157/TUP-INV/VI/2025</t>
  </si>
  <si>
    <t>0158/TUP-INV/VI/2025</t>
  </si>
  <si>
    <t>0159/TUP-INV/VI/2025</t>
  </si>
  <si>
    <t>0160/TUP-INV/VI/2025</t>
  </si>
  <si>
    <t>Termin Ke-4 Extended Warranty : Bank Victoria ( Graha BIP Lt. 9 ), Model : Coolblade SAO, Brand : Climaveneta, 4 Timis visit / Year @ 1x40.000.000</t>
  </si>
  <si>
    <t>Dwimitra Ekatama Mandiri ( TTC Soeta Bandung )</t>
  </si>
  <si>
    <t>Jasa Engineer On Site Pengecekan Alarm Inrow 1 Lantai 3 TTC Soeta @ 1x4.000.000</t>
  </si>
  <si>
    <t>DME/V/2025/064/MNT</t>
  </si>
  <si>
    <t>0152/TUP-INV/VI/2025</t>
  </si>
  <si>
    <t>Plaza Auto Prima ( Plaza Toyota Karanggan Bogor )</t>
  </si>
  <si>
    <t>Maintenance AC Cassette 3PK (2), AC Split Wall 1PK (2), AC Split Wall 1,5PK (10), AC Split Wall 2PK (3) @ 1x2.268.750</t>
  </si>
  <si>
    <t>TKR-PO-25-05-00039</t>
  </si>
  <si>
    <t>0028-C70PO-CMM-PWR18-1124</t>
  </si>
  <si>
    <t>Pelunasan 70% Material PAC @ 1x16.215.000, Jasa PAC @ 1x590.000</t>
  </si>
  <si>
    <t>0029-C70PO-CMM-PWR18-1124</t>
  </si>
  <si>
    <t>Pelunasan 70% Material PAC @ 1x6.585.000, Jasa PAC @ 1x15.175.000</t>
  </si>
  <si>
    <t>Main Board PCO1010CS0 @ 1x15.000.000</t>
  </si>
  <si>
    <t>PO23517</t>
  </si>
  <si>
    <t>Driver EVD Modul Merk Climaveneta @ 1x11.000.000</t>
  </si>
  <si>
    <t>047/BM-HKT/PO/III/2025</t>
  </si>
  <si>
    <t>PLN Energi Primer Indonesia ( PLN EPI Warung Buncit )</t>
  </si>
  <si>
    <t>0161/TUP-INV/VI/2025</t>
  </si>
  <si>
    <t>Performance &amp; Healthy Check PAC Model : SAF 013, Brand : Climaveneta, 1 time visit @ 1x5.000.000</t>
  </si>
  <si>
    <t>088/TBUP/GHI/V/Rev 2/2025</t>
  </si>
  <si>
    <t>0162/TUP-INV/VI/2025</t>
  </si>
  <si>
    <t>Termin Ke-2 Maintenance Service PSDC @ 12x62.500.000</t>
  </si>
  <si>
    <t>Orbitec Prima Solusi ( PLN Batam )</t>
  </si>
  <si>
    <t>0165/TUP-INV/VI/2025</t>
  </si>
  <si>
    <t>UPS Eaton E9E 3000VA, Type : Tower, Power : 2.400 Watt, Input Voltages : 208-240 Vac, Output Voltages : 208-240 Vac, Frequency : 50HZ/60Hz, Battery : 12x9 ah, Back up time max : 10 minutes</t>
  </si>
  <si>
    <t>006/OPS/PO/VI/2025</t>
  </si>
  <si>
    <t>PPh 1.75% = 2.358.497 + PPN = 14.824.837 + Admin = 2.900</t>
  </si>
  <si>
    <t>Lunas 22-Mei-25 ( Maybank )</t>
  </si>
  <si>
    <t>Lunas 26-Mei-25 ( Maybank )</t>
  </si>
  <si>
    <t>PPh = 10.000.000 ( 500.000.000 x 2% )</t>
  </si>
  <si>
    <t>Telkom Infra ( Consumable Part PAC West Area Q4 2023 - Q2 2024 )</t>
  </si>
  <si>
    <t>Lunas 16-Mei-25 &amp; 13-Jun-25 ( Maybank )</t>
  </si>
  <si>
    <t>0164/TUP-INV/VI/2025</t>
  </si>
  <si>
    <t>0163/TUP-INV/VI/2025</t>
  </si>
  <si>
    <t>Termin Ke-18 Climaveneta SAU 025M @ 24x217.763.077, Climaveneta SAU 030 @ 2x217.763.077</t>
  </si>
  <si>
    <t>Khatulistiwa Jaringan Indonesia ( Mako Surabaya )</t>
  </si>
  <si>
    <t>0166/TUP-INV/VI/2025</t>
  </si>
  <si>
    <t>PAC Climaveneta Model SAU 13 kw (Downflow), Instalasi : Jarak Indoor ke Outdoor 15 mater, Kabel Power 15 meter</t>
  </si>
  <si>
    <t>19/KJI/V/2025</t>
  </si>
  <si>
    <t>0167/TUP-INV/VI/2025</t>
  </si>
  <si>
    <t>Termin Ke-2 Maintenance PAC @ 4x4.250.000, In Row @ 2x3.500.000</t>
  </si>
  <si>
    <t>Telkom Infra ( TSA Q4 2024 - Q1 2025 )</t>
  </si>
  <si>
    <t>0168/TUP-INV/VI/2025</t>
  </si>
  <si>
    <t>Preventive Maintenance Central Area @ 712x450.000, Akomodasi Transport Jabodetabek @ 10x900.000</t>
  </si>
  <si>
    <t>0169/TUP-INV/VI/2025</t>
  </si>
  <si>
    <t>0170/TUP-INV/VI/2025</t>
  </si>
  <si>
    <t>Pelunasan 70% Material PAC @ 1x191.900.000, Instalasi PAC @ 1x9.600.000</t>
  </si>
  <si>
    <t>0033-C70PO-CMM-PWR18-1124</t>
  </si>
  <si>
    <t>Pelunasan 70% Material PAC @ 1x1.552.500, Jasa PAC @ 1x15.060.000</t>
  </si>
  <si>
    <t>Lunas 18-Jun-25 ( Maybank )</t>
  </si>
  <si>
    <t>Abhimata Acme Indonesia ( Ellips Mechanical PDN )</t>
  </si>
  <si>
    <t>0171/TUP-INV/VI/2025</t>
  </si>
  <si>
    <t>Jasa Simulasi CFD Fix State per Scenario @ 24x3.000.000</t>
  </si>
  <si>
    <t>066/J/AAI/01/2025</t>
  </si>
  <si>
    <t>Lunas 20-Jun-25 ( Maybank )</t>
  </si>
  <si>
    <t>Nirmala Kencana Mas ( Mayapada Hospital Jakarta Selatan )</t>
  </si>
  <si>
    <t>0172/TUP-INV/VI/2025</t>
  </si>
  <si>
    <t>0173/TUP-INV/VI/2025</t>
  </si>
  <si>
    <t>DP 20% Pembelian UPS Eaton 93E 30Kva untuk unit radiologi Lt. 5 Tower 2 @ 1x156.000.000</t>
  </si>
  <si>
    <t>PO2505156207</t>
  </si>
  <si>
    <t>Refrigerant Chemours R410A @ 25x2.350.000</t>
  </si>
  <si>
    <t>LPO/FF/PQ.0121/2025</t>
  </si>
  <si>
    <t>PLN Nusantara Power ( PJB Malang )</t>
  </si>
  <si>
    <t>Kunjungan Ke-1 Pengadaan Jasa Maintenance Data Center @ 1x27.580.000</t>
  </si>
  <si>
    <t>BRB293</t>
  </si>
  <si>
    <t>0174/TUP-INV/VII/2025</t>
  </si>
  <si>
    <t>Lunas 14-Mei-25 ( Permata )</t>
  </si>
  <si>
    <t>Eaton Industries ( Edge 2 Phase 2 - Additional )</t>
  </si>
  <si>
    <t>Eaton Industries ( Digital Edge 2 Phase 2 - Loadbank Only )</t>
  </si>
  <si>
    <t>0175/TUP-INV/VI/2025</t>
  </si>
  <si>
    <t>0176/TUP-INV/VI/2025</t>
  </si>
  <si>
    <t>0177/TUP-INV/VI/2025</t>
  </si>
  <si>
    <t>0178/TUP-INV/VI/2025</t>
  </si>
  <si>
    <t>0179/TUP-INV/VI/2025</t>
  </si>
  <si>
    <t>Termin Ke-3 20% Floor supp &amp; frame for CRAC c/w sei @ 8x8.204.800, Install Cost c/w Project management @ 8x10.939.733, Positioning @ 1x6.837.333, HSE Officer @ 1x103.927.466, Floor supp &amp; frame for FWU c/w wall @ 14x21.879.467, Install cost c/w project management @ 14x10.939.733, Positioning @ 14x16.409.600, Install of return sensor above ceili @ 14x23.246.933</t>
  </si>
  <si>
    <t>Termin ke-3 20% Delivery of PTU unit to site @ 5x275.000.000, Hoisting to position @ 5x180.000.000, Install &amp; positioning of UPS, panel @ 5x423.000.000, Integr of system in the PTU &amp; PTU u @ 5x347.000.000, Coordinat &amp; project management @ 1x320.000.000, Project management (BKK) @ 1x324.000.000, Project management (Batam) @ 1x324.000.000</t>
  </si>
  <si>
    <t>Termin Ke-3 80% 2nd yr warranty for 5 units of PTU @ 1x1.127.828.762</t>
  </si>
  <si>
    <t>Loadbank c/w temporary breaker @ 5x950.000.000</t>
  </si>
  <si>
    <t>DC cabling @ 1x519.917.568, Syn and comm cable @ 1x35.626.952, DC cable ladder UPS to battery rack c/w @ 1x310.000.000, Transport to site @ 1x35.000.000, Installation UPS @ 1x50.000.000, Installation of litium rack &amp; battery mo @ 1x60.000.000, Positioning @ 1x40.000.000, Provision Manpower @ 1x65.000.000, Provide PQA during SAT until IST @ 1x30.000.000</t>
  </si>
  <si>
    <t>0180/TUP-INV/VI/2025</t>
  </si>
  <si>
    <t>0181/TUP-INV/VI/2025</t>
  </si>
  <si>
    <t>Preventiven Maintenance 24 Mths @ 1x98.457.600, Preventive Maintenance 24mth, Quart @ 1x629.034.667</t>
  </si>
  <si>
    <t>Maint' for 1st &amp; 2nd yr for PTU u @ 1x3.304.080.000</t>
  </si>
  <si>
    <t>0182/TUP-INV/VII/2025</t>
  </si>
  <si>
    <t>DP 30% Material PAC @ 1x15.660.000, Jasa PAC @ 1x400.000</t>
  </si>
  <si>
    <t>0088-C70PO-CMM-PWR20-0625</t>
  </si>
  <si>
    <t>0183/TUP-INV/VII/2025</t>
  </si>
  <si>
    <t>Termin Ke-1 2025 Maintenance Chiller @ 3x31.500.000, Pumps @ 6x24.150.000, Cooling Tower @ 3x31.500.000, Precision Air Conditioning @ 25x8.000.000, Scraffolding @ 1x35.000.000, Water Treatment : Weekly @ 1x127.515.000, Monthly @ 1x25.410.000, Bi Monthly @ 1x56.910.000, Annual @ 1x34.410.000</t>
  </si>
  <si>
    <t>Renewal Billing ID-C3527</t>
  </si>
  <si>
    <t>PPh 2% = 10.500.000</t>
  </si>
  <si>
    <t>PPh 2% = 2.700.000</t>
  </si>
  <si>
    <t>Lunas 26-Jun-25 ( Maybank )</t>
  </si>
  <si>
    <t>PPh 2% = 28.800.000</t>
  </si>
  <si>
    <t>PPh 2% = 10.800.000</t>
  </si>
  <si>
    <t>Lunas 25-Jun-25 ( Maybank )</t>
  </si>
  <si>
    <t>PPh 2% = 14.700.000</t>
  </si>
  <si>
    <t>PPh 2% = 13.930.000</t>
  </si>
  <si>
    <t>PPh 2%= 2.800.000</t>
  </si>
  <si>
    <t>PPh 2% = 49.575.424</t>
  </si>
  <si>
    <t>PPh 2% = 23.940.000</t>
  </si>
  <si>
    <t>PPh 2% = 444.000.000 x 2% = 8.880.000</t>
  </si>
  <si>
    <t>PPh 2% = 28.372.000</t>
  </si>
  <si>
    <t>PPh 2% = 280.000.000 x 2% = 5.600.000</t>
  </si>
  <si>
    <t>PPh 2% = 8.729.907</t>
  </si>
  <si>
    <t>PPh 2% = 39.648.960</t>
  </si>
  <si>
    <t>0184/TUP-INV/VII/2025</t>
  </si>
  <si>
    <t>0185/TUP-INV/VII/2025</t>
  </si>
  <si>
    <t>0186/TUP-INV/VII/2025</t>
  </si>
  <si>
    <t>0187/TUP-INV/VII/2025</t>
  </si>
  <si>
    <t>DP 30% Material PAC @ 1x34.395.000, Jasa PAC @ 1x1.305.000</t>
  </si>
  <si>
    <t>0001-C70PO-CMM-PWR20-0725</t>
  </si>
  <si>
    <t>Termin Ke-2 Preventive Maintenance UPS Eaton : Model 93PR-175 KVA, Tidak termasuk penggantian sparepart @ 2x16.000.000</t>
  </si>
  <si>
    <t>0188/TUP-INV/VII/2025</t>
  </si>
  <si>
    <t>Termin Ke-3 Preventive Maintenance Chiller Climaveneta @ 1x88.000.000</t>
  </si>
  <si>
    <t>J Resources Nusantara</t>
  </si>
  <si>
    <t>Maintenance 1 PAC &amp; 2 UPS @ 1x6.000.000</t>
  </si>
  <si>
    <t>JRN.PO.132</t>
  </si>
  <si>
    <t>Nest Advance ( Sinergy Cyber )</t>
  </si>
  <si>
    <t>DP 20% Climaveneta DAU 070M @ 1x357.000.000</t>
  </si>
  <si>
    <t>090/Nest/PO-SINERGY-TUP/VII/25</t>
  </si>
  <si>
    <t>0189/TUP-INV/VII/2025</t>
  </si>
  <si>
    <t>Termin Ke-19 Climaveneta SAU 025M @ 24x217.763.077, Climaveneta SAU 030 @ 2x217.763.077</t>
  </si>
  <si>
    <t>Termin Ke-2 Maintenance Waterleak DC Hayam Wuruk Periode Januari 2025 - Desember 2026</t>
  </si>
  <si>
    <t>0190/TUP-INV/VII/2025</t>
  </si>
  <si>
    <t>Lunas 04-Jul-25 ( Maybank )</t>
  </si>
  <si>
    <t>PPh = 120.000 x 2% = 2.400</t>
  </si>
  <si>
    <t>PPh 1.5% = 2.850.000 + PPn = 20.900.000</t>
  </si>
  <si>
    <t>0191/TUP-INV/VII/2025</t>
  </si>
  <si>
    <t>0192/TUP-INV/VII/2025</t>
  </si>
  <si>
    <t>0193/TUP-INV/VII/2025</t>
  </si>
  <si>
    <t>0194/TUP-INV/VII/2025</t>
  </si>
  <si>
    <t>0195/TUP-INV/VII/2025</t>
  </si>
  <si>
    <t>0196/TUP-INV/VII/2025</t>
  </si>
  <si>
    <t>0197/TUP-INV/VII/2025</t>
  </si>
  <si>
    <t>0198/TUP-INV/VII/2025</t>
  </si>
  <si>
    <t>0199/TUP-INV/VII/2025</t>
  </si>
  <si>
    <t>Indomarco Prismatama ( Indomaret PIK )</t>
  </si>
  <si>
    <t>Nusa Sejahtara Kharisma ( Mayapada Hospital Bandung )</t>
  </si>
  <si>
    <t>030000/0238205/06/2025</t>
  </si>
  <si>
    <t>Service Perbaikan Kebocoran PAC 1 DC PIK : Oksigen @ 1x125.000, Gas LPJ @ 1x333.400, Kawat Las @ 5x11.000, Sock Tembaga @ 2x65.000, Filter Drier 1130-306S (XFL-306S) @ 1x810.000, Expansion Valve Danfoss TGE (19 TR-68 KW) @ 1x2.475.000, Freon R410A Chemours @ 1x2.062.500</t>
  </si>
  <si>
    <t>Service Perbaikan Kebocoran PAC 1 DC PIK : Freon R410A Chemours @ 3x2.062.500, Tutup Pentil Freon @ 7 (Free), Nitrogen @ 2x141.700</t>
  </si>
  <si>
    <t>030000/0238191/06/2025</t>
  </si>
  <si>
    <t>DP 20% Baterai UPS R. Subserver Basement (9AH) @ 6x289.333, Baterai UPS R. Subserver Basement (5AH) @ 15x239.333, Baterai UPS R. Subserver Lantai 5 (9AH) @ 6x289.333, Baterai UPS R. Subserver Lantai 3 (9AH) 6x289.333, Baterai UPS Radiologi (200AH) @ 80x4.424.500, Baterai UPS Lab, HD, IGD, ICU (120AH) @ 40x2.985.000, Baterai OT (42AH) @ 80x1.227.500, Beterai UPS Server IT (12AH) @ 72x347.611, Baterai UPS Cathlab (120AH) @ 40x2.985.000, Baterai UPS Pneumatic Tube 6KVA (5AH) @ 15x239.333</t>
  </si>
  <si>
    <t>PO2504302163</t>
  </si>
  <si>
    <t>PPN = 1.210.000</t>
  </si>
  <si>
    <t>Lunas 03-Jun-25 ( Maybank )</t>
  </si>
  <si>
    <t>PPh 2.65% = 10.710.000 + PPn = 67.320.000 + Adm = 2.900</t>
  </si>
  <si>
    <t>Lunas 05-Jun-25 ( Maybank )</t>
  </si>
  <si>
    <t>Lunas 12-Jun-25 ( Maybank )</t>
  </si>
  <si>
    <t>Lunas 13-Jun-25 ( Maybank )</t>
  </si>
  <si>
    <t>Lunas 19-Jun-25 ( Maybank )</t>
  </si>
  <si>
    <t>Lunas 24-Jun-25 ( Maybank )</t>
  </si>
  <si>
    <t>PPh 1.75% = 3.447.500 + PPn = 21.670.000</t>
  </si>
  <si>
    <t>PPh 1.75% = 6.965.000 + PPn = 43.780.000 + Adm = 2.900</t>
  </si>
  <si>
    <t>PPh 2% = 480.000 + PPn = 2.640.000</t>
  </si>
  <si>
    <t>Lunas 08-Jul-25 ( Maybank )</t>
  </si>
  <si>
    <t>PPh 1.75% = 2.976.750 + PPn = 18.711.000</t>
  </si>
  <si>
    <t>Lunas 30-Jun-25 &amp; 01-Jul-25 ( Maybank )</t>
  </si>
  <si>
    <t>Perbaikan Kebocoran PAC 1 di DC Server Buncit PT PLN Energi Primer Indonesia @ 1x14.588.400</t>
  </si>
  <si>
    <t>099/TBUP/GHI/VI/Rev-2/2025</t>
  </si>
  <si>
    <t>Cahaya Mutiara Mandiri ( Bekasi )</t>
  </si>
  <si>
    <t>DP 30% Material PAC @ 1x169.655.000, Jasa PAC @ 1x54.425.000</t>
  </si>
  <si>
    <t>0003-C70PO-CMM-PWR18-0725</t>
  </si>
  <si>
    <t>Indokomas Buana Perkasa ( JKT02)</t>
  </si>
  <si>
    <t>Pelunasan Termin Ke-5 PM Direct Outside Air Supply (DOAS) @ 7x3.215.000, PM Fan Coil Unit @ 53x3.215.000, PM Condenser Water System (WCCU) @ 14x17.500.000</t>
  </si>
  <si>
    <t>Pelunasan Termin Ke-3 45% PAC Downflow Climaveneta SAU 013 @ 3x106.000.000</t>
  </si>
  <si>
    <t xml:space="preserve">PPh = 391.500 x 2% = 7.830 </t>
  </si>
  <si>
    <t>Lunas 10-Jul-25 ( Maybank )</t>
  </si>
  <si>
    <t>Transportasi &amp; Akomodasi 2 teknisi @ 1x7.000.000, Jasa Pengecekan @ 1x8.000.000</t>
  </si>
  <si>
    <t>1282/WO-RBNP.BM/VII/2025</t>
  </si>
  <si>
    <t>Lunas 14-Jul-25 ( Maybank )</t>
  </si>
  <si>
    <t>0200/TUP-INV/VII/2025</t>
  </si>
  <si>
    <t>0201/TUP-INV/VII/2025</t>
  </si>
  <si>
    <t>0202/TUP-INV/VII/2025</t>
  </si>
  <si>
    <t>0203/TUP-INV/VII/2025</t>
  </si>
  <si>
    <t>0204/TUP-INV/VII/2025</t>
  </si>
  <si>
    <t>0205/TUP-INV/VII/2025</t>
  </si>
  <si>
    <t>Cahaya Mutiara Mandiri ( Banjarmasin Ulin )</t>
  </si>
  <si>
    <t>Eaton Industries ( Kedubes AS )</t>
  </si>
  <si>
    <t>0030-C70PO-CMM-PWR20-0725</t>
  </si>
  <si>
    <t>DP 30% Material PAC @ 1x336.000.000, Instalasi PAC @ 1x15.000.000</t>
  </si>
  <si>
    <t>Battery brand CSB, HR 1227W F2FR, Qty : 200 Block @ 1x50.000.000</t>
  </si>
  <si>
    <t>Canatec Pte Ltd ( Iris )</t>
  </si>
  <si>
    <t>004/TUP-INV/VII/2025</t>
  </si>
  <si>
    <t>-</t>
  </si>
  <si>
    <t>005/TUP-INV/VII/2025</t>
  </si>
  <si>
    <t>Project Management Free Periode Mei 2025 dan Juni 2025 @ 2x3.500</t>
  </si>
  <si>
    <t>Project Management Free Periode Juli 2025, Agustus 2025 dan September 2025 @ 3x3.500</t>
  </si>
  <si>
    <t>Lunas 09-Jul-25 ( Maybank )</t>
  </si>
  <si>
    <t>Lunas 16-Jul-25 ( Maybank )</t>
  </si>
  <si>
    <t>PPh 2% =3.747.060 x 2% = 74.941</t>
  </si>
  <si>
    <t>Termin Ke-1 CX1 30% Floor Support FWU CAHU210 Unclude Stopper &amp; Wall Sealer @ 56x9.870.000, Floor Support CRAH MECD 1901M Include Stopper @ 12x6.016.000, Installation FWU CAHU210 CX1 sd CX6+Cable Power to Isolator X10m @ 56x10.340.000, Installation CRAH MEDC1901M CX1 sd CX6+Cable Power to Isolator X10m @ 12x9.400.000, Installation Return air sensor of FWU CAHU 210 @ 56x9.870.000, Unloading, Moving, hoisting and positioning to floor support (base frame) FWU @ 56x9.400.000, Unloading, Moving, hoisting and positioning to floor support (base frame) CRAH @ 12x8.460.000</t>
  </si>
  <si>
    <t>Termin Ke-2 CX3 50% Floor Support FWU CAHU210 Unclude Stopper &amp; Wall Sealer @ 56x9.870.000, Floor Support CRAH MECD 1901M Include Stopper @ 12x6.016.000, Installation FWU CAHU210 CX1 sd CX6+Cable Power to Isolator X10m @ 56x10.340.000, Installation CRAH MEDC1901M CX1 sd CX6+Cable Power to Isolator X10m @ 12x9.400.000, Installation Return air sensor of FWU CAHU 210 @ 56x9.870.000, Unloading, Moving, hoisting and positioning to floor support (base frame) FWU @ 56x9.400.000, Unloading, Moving, hoisting and positioning to floor support (base frame) CRAH @ 12x8.460.000</t>
  </si>
  <si>
    <t>PPh = 4.500.000 x 2% = 90.000</t>
  </si>
  <si>
    <t>DP 30% Besi UNP 80 ( Include Pondasi ) Penambahan untuk modifikasi tiang platform dan pondasi tiang (see drawing) @ 7x1.250.000, Jasa penambahan modifikasi tiang platform (see drawing) @ 1x2.500.000</t>
  </si>
  <si>
    <t>PPh = 750.000 x 2% = 15.000</t>
  </si>
  <si>
    <t>Lunas 18-Jul-25 ( Maybank )</t>
  </si>
  <si>
    <t>0206/TUP-INV/VII/2025</t>
  </si>
  <si>
    <t>0207/TUP-INV/VII/2025</t>
  </si>
  <si>
    <t>0208/TUP-INV/VII/2025</t>
  </si>
  <si>
    <t>0209/TUP-INV/VII/2025</t>
  </si>
  <si>
    <t>0210/TUP-INV/VII/2025</t>
  </si>
  <si>
    <t>Penggantian Oli Kompressor Emkarate 170 @ 4x9.000.000, Penggantian Filter Core Drier Emerson H 480 @ 2x6.600.000, Jasa Service Panel Chiller dan Harmonic Filter, Service Inverter Compressor, Pengecekan Fan Condenser @ 1x96.450.000, Cuci Condenser Coil + Chemical Descaling Condensor @ 1x25.000.000</t>
  </si>
  <si>
    <t>027/MMM-PO/VII/2025</t>
  </si>
  <si>
    <t>Lunas 22-Jul-25 ( Maybank )</t>
  </si>
  <si>
    <t>Megah Manggala Mandiri ( HDC )</t>
  </si>
  <si>
    <t>0211/TUP-INV/VII/2025</t>
  </si>
  <si>
    <t>0212/TUP-INV/VII/2025</t>
  </si>
  <si>
    <t>0213/TUP-INV/VII/2025</t>
  </si>
  <si>
    <t>0214/TUP-INV/VII/2025</t>
  </si>
  <si>
    <t>0215/TUP-INV/VII/2025</t>
  </si>
  <si>
    <t>0216/TUP-INV/VII/2025</t>
  </si>
  <si>
    <t>0217/TUP-INV/VII/2025</t>
  </si>
  <si>
    <t>0218/TUP-INV/VII/2025</t>
  </si>
  <si>
    <t>Cahaya Mutiara Mandiri ( Karet Tengsin )</t>
  </si>
  <si>
    <t>0004-C76PO-CMM-PWR6-0724</t>
  </si>
  <si>
    <t>Cahaya Mutiara Mandiri ( Cirebon )</t>
  </si>
  <si>
    <t>Pelunasan 70% Material PAC @ 1x120.800.000, Jasa PAC @ 1x24.600.000</t>
  </si>
  <si>
    <t>0051-C76PO-CMM-PWR21-0725</t>
  </si>
  <si>
    <t>DP 30% Material PAC @ 1x780.510.000, Jasa PAC @ 1x190.990.000</t>
  </si>
  <si>
    <t>0007-C70PO-CMM-PWR20-0725</t>
  </si>
  <si>
    <t>Pelunasan Termin Ke-4 PAC Climaveneta 17Kw 2 Unit @ 4x8.000.000, UPS 10Kva @ 4x3.000.000</t>
  </si>
  <si>
    <t>Termin Ke-3 Maintenance Service UPS Periode Jan'25 @ 3x2.600.000</t>
  </si>
  <si>
    <t>Termin Ke-4 Preventive Maintenance Chiller Climaveneta Kapasitas 400 TR @ 1x19.760.000</t>
  </si>
  <si>
    <t>Sahara Sukses ( Gedung Chandra )</t>
  </si>
  <si>
    <t>Termin Ke-2 50% BMCC @ 1x171.966.700, Jasa Pemasangan BMCC @ 1x1.500.000, Diskon @ 1x13.466.700</t>
  </si>
  <si>
    <t>Eaton Industries ( BDX CGK1 )</t>
  </si>
  <si>
    <t>DC Cabling UPS to batt rack (10m) each @ 1x95.000.000, Baseframe UPS &amp; Battery @ 2x15.000.000, Cable from LVMDB to Input Output Panel @ 1x604.333.333, Cable from Input Output Panel to MDS BMS @ 1x230.000.000, Grounding cable, NYA 70 @ 1x42.080.000, Panel IO UPS : Main input breaker 4P 20 @ 1x45.000.000, Discharge cabinet CATL Battery @ 1x50.000.000, Installation of Litium rack &amp; battery @ 1x30.000.000, Snyc &amp; communication cable @ 1x5.000.000, Supply and install tray 200mm @ 1x16.500.000</t>
  </si>
  <si>
    <t>Eaton Industries ( BDX CRAH )</t>
  </si>
  <si>
    <t>Installation Cost C/W Project Management @ 20x9.360.000, Positioning @ 20x5.850.000, HSE Officer @ 1x25.000.000</t>
  </si>
  <si>
    <t>Eaton Industries ( BDX FWU )</t>
  </si>
  <si>
    <t>Installation Cost C/W Project Management @ 6x9.360.000, Positioning @ 6x10.530.000, HSE Officer @ 1x25.000.000, Installation of Return Sensor above Ceili @ 6x14.040.000</t>
  </si>
  <si>
    <t>Sentra Netcomindo ( Hitachi Astemo )</t>
  </si>
  <si>
    <t>Maintenance PAC Climaveneta 17 KW Kunjungan Rutin 3x /Tahun @ 3x7.500.000, FM 200 Fenwell Kunjungan Rutin 2x /Tahun @ 2x5.500.000</t>
  </si>
  <si>
    <t>061/PO/TUP/SNC_AN/VII/2025</t>
  </si>
  <si>
    <t>License Bacnet Type : EW 50 &amp; AE 200 @ 2x48.500.000</t>
  </si>
  <si>
    <t>LPO/FF/PQ.0230/2025</t>
  </si>
  <si>
    <t>Installation UPS @ 2x40.000.000, Provide PQA during SAT until IST @ 14x25.000.000, Provide PQA during SAT until IST @ 1x25.000.000, Provide PQA during SAT until IST @ 2x25.000.000</t>
  </si>
  <si>
    <t>Lunas 23-Jul-25 ( Maybank )</t>
  </si>
  <si>
    <t>PPh = 57.297.000 x 2% = 1.145.940</t>
  </si>
  <si>
    <t>Lunas 09-Jul-25 ( Mandiri )</t>
  </si>
  <si>
    <t>Eaton Industries ( BDX CRAH &amp; FWU Phase 2 )</t>
  </si>
  <si>
    <t>0219/TUP-INV/VII/2025</t>
  </si>
  <si>
    <t>HSE Officer @ 1x10.000.000, Installation Cost C/W Project Management @ 10x9.000.000, Positioning @ 10x5.000.000, Installation of Return Sensor above Ceili @ 10x6.800.000, Provision manpower and tools for CxL2 @ 10x10.000.000, HSE Officer @ 1x10.000.000, Installation Cost C/W Project Management @ 16x9.000.000, Positioning @ 16x5.000.000, Provision manpower and tools CxL2 @ 16x8.000.000</t>
  </si>
  <si>
    <t>Lunas 24-Jul-25 ( Maybank )</t>
  </si>
  <si>
    <t>Lunas 23-Jul-25 ( Mandiri )</t>
  </si>
  <si>
    <t>Lunas 25-Jul-25 ( Maybank )</t>
  </si>
  <si>
    <t>0220/TUP-INV/VII/2025</t>
  </si>
  <si>
    <t>Termin Ke-2 30% PAC SAU 045M, Outdoor Unit Custom uk. 150 x 100 x 400 cm</t>
  </si>
  <si>
    <t>Lunas 31-Jul-25 ( BCA )</t>
  </si>
  <si>
    <t>Lunas 01-Aug-25 ( Maybank )</t>
  </si>
  <si>
    <t>Lunas 26-Jun-25 &amp; 07-Jul-25 ( Maybank )</t>
  </si>
  <si>
    <t>Lunas 11-Jul-25 ( Maybank )</t>
  </si>
  <si>
    <t>PPh = 16.327.500 x 2% = 326.550</t>
  </si>
  <si>
    <t>Lunas 17-Jul-25 ( Maybank )</t>
  </si>
  <si>
    <t>PPh = 231.750 + PPN = 1.274.625</t>
  </si>
  <si>
    <t>Admin</t>
  </si>
  <si>
    <t>PPh 2% = 300.000 + Admin = 6.500</t>
  </si>
  <si>
    <t>PPh = 119.818 + Admin = 2.900</t>
  </si>
  <si>
    <t>PPh = 129.418 + Admin = 2.900</t>
  </si>
  <si>
    <t>Lunas 30-Jul-25 ( Maybank )</t>
  </si>
  <si>
    <t>Lunas 31-Jul-25 ( Maybank )</t>
  </si>
  <si>
    <t>PPh = 496.937 = PPN = 2.733.153 + Admin = 2.900</t>
  </si>
  <si>
    <t>PPh = 17.220.000 x 2% = 344.400</t>
  </si>
  <si>
    <t>0221/TUP-INV/VII/2025</t>
  </si>
  <si>
    <t>0222/TUP-INV/VIII/2025</t>
  </si>
  <si>
    <t>0223/TUP-INV/VIII/2025</t>
  </si>
  <si>
    <t>0224/TUP-INV/VIII/2025</t>
  </si>
  <si>
    <t>0225/TUP-INV/VIII/2025</t>
  </si>
  <si>
    <t>0226/TUP-INV/VIII/2025</t>
  </si>
  <si>
    <t>0227/TUP-INV/VIII/2025</t>
  </si>
  <si>
    <t>0228/TUP-INV/VIII/2025</t>
  </si>
  <si>
    <t>Dwimitra Ekatama Mandiri ( TTC Dago )</t>
  </si>
  <si>
    <t>Termin Ke-2 DAU 100M @ 3x370.000.000</t>
  </si>
  <si>
    <t>Lunas 06-Aug-25 ( Maybank )</t>
  </si>
  <si>
    <t>Pelunasan Termin Ke-20 Climaveneta SAU 025M @ 24x217.763.077, Climaveneta SAU 030 @ 2x217.763.077</t>
  </si>
  <si>
    <t>Lunas 12-Aug-25 ( Maybank )</t>
  </si>
  <si>
    <t>DP 30% Material PAC @ 1x32.785.000, Jasa PAC @ 1x15.980.000</t>
  </si>
  <si>
    <t>0117-C70PO-CMM-PWR20-0725</t>
  </si>
  <si>
    <t>DME/VI/2025/489/MNT</t>
  </si>
  <si>
    <t>Termin Ke-1 Preventive Maintenance Chiller Model : ERACS1501C-B-HE-INV, Brand Climaveneta, 4 Times Visit / Years @ 2x10.000.000</t>
  </si>
  <si>
    <t>Termin Ke-1 Preventive Maintenance PAC Climaveneta SCU180 MEX Serial Number : A211002039, A211002038, A211002037, A211002036 @ 4x10.800.000</t>
  </si>
  <si>
    <t>DME/VI/2025/487/MNT</t>
  </si>
  <si>
    <t>Port SNMP Type PSOCoo4850 For Inrow CRAC CRCK-IC 0151 @ 1x8.000.000</t>
  </si>
  <si>
    <t>DME/VII/2025/047/MNT</t>
  </si>
  <si>
    <t>23/KJI/VII/2025</t>
  </si>
  <si>
    <t>PAC Climaveneta Model : SAU 13 KW ( Downflow ), Total Cooling : 11,8 kw, Total Sensible : 11,0 kw, Indoor : P.650 x L.550 x T.1980 mm, Outdoor : P.1115 x L905 x T.830 mm, Compressor : Single, Tescommisioning, SNMP, Instalasi : Jarak Indoor ke Outdoor 15 meter, Kabel Power 15 meter @ 1x160.000.000</t>
  </si>
  <si>
    <t>Pengecekan Kebocoran PAC 2 di DC Server Buncit @ 1x5.000.000</t>
  </si>
  <si>
    <t>124/TBUP/GHI/VII/2025</t>
  </si>
  <si>
    <t>Lunas 13-Aug-25 ( Maybank )</t>
  </si>
  <si>
    <t>PPh = 15.980.000 x 2% = 319.600 ( PPh nya sudah dipotong full 100% bukan dari DP 30% )</t>
  </si>
  <si>
    <t>0229/TUP-INV/VIII/2025</t>
  </si>
  <si>
    <t>0230/TUP-INV/VIII/2025</t>
  </si>
  <si>
    <t>0231/TUP-INV/VIII/2025</t>
  </si>
  <si>
    <t>Discharge cabinet CATL Battery @ 1x50.000.000</t>
  </si>
  <si>
    <t xml:space="preserve">Provide 1500 KVA Load Bank, Provide 300 KVA Load Bank, Inclusive of : Loading, Unloading and Positioning Load Bank, Supporting material from Load Bank to Panel I/O or UPS, Pulling Cabling from Ground Level to Room, Operator Load Bank, PQA and Fluke 289 @ 2x512.500.000 </t>
  </si>
  <si>
    <t>Lunas 19-Aug-25 ( Maybank )</t>
  </si>
  <si>
    <t>Pelunasan Termin Ke-3 40% PAC SAU 045M, Outdoor Unit Custom uk. 150 x 100 x 400 cm</t>
  </si>
  <si>
    <t>Eaton Industries ( PDG JC2 )</t>
  </si>
  <si>
    <t>0232/TUP-INV/VIII/2025</t>
  </si>
  <si>
    <t>0233/TUP-INV/VIII/2025</t>
  </si>
  <si>
    <t>0234/TUP-INV/VIII/2025</t>
  </si>
  <si>
    <t>0235/TUP-INV/VIII/2025</t>
  </si>
  <si>
    <t>0236/TUP-INV/VIII/2025</t>
  </si>
  <si>
    <t>0238/TUP-INV/VIII/2025</t>
  </si>
  <si>
    <t>0237/TUP-INV/VIII/2025</t>
  </si>
  <si>
    <t>DC cabling UPS to BCB Panel @ 4x58.065.480, Interlink cabling BCB Panel to Rack @ 4x45.942.238, Sync Cable @ 4x18.500.000, Land Transport and Position for UPS @ 4x12.500.000, Installation of UPS Power Module @ 4x20.000.000, Installation of Lithium Ion Batteries @ 4x20.000.000</t>
  </si>
  <si>
    <t>DP 30% Tray perforated 200x100x3000mm ( Include Support ) @ 4x1.500.000, Jasa Tray perforated 200x300x3000 mm @4x500.000</t>
  </si>
  <si>
    <t>0118-C70PO-CMM-PWR20-0725</t>
  </si>
  <si>
    <t>DP 30% Material PAC @ 1x966.000.000, Jasa PAC @ 1x30.000.000</t>
  </si>
  <si>
    <t>0020-C76PO-CMM-PWR21-0825</t>
  </si>
  <si>
    <t>Cahaya Mutiara Mandiri ( Kebelen Lt. 4 )</t>
  </si>
  <si>
    <t>Pelunasan 70% Material PAC @ 1x1.017.000.000, Instalasi PAC @ 1x1.500.000</t>
  </si>
  <si>
    <t>Pelunasan 70% Material PAC @ 1x2.028.800.000, Instalasi PAC @ 1x2.600.000</t>
  </si>
  <si>
    <t>0009R1-C76PO-CMM-PWR19-0125</t>
  </si>
  <si>
    <t>Pelunasan 70% PAC 60 Kw Downflow DAU/O070M, System : DX System Double Circuit ( Air Cooled ), Net Sensible Capacity ( Kw ) : 61,4 Kw, Temp ruang 22C / 50%RH, Electronic Commulated ( EC ) Fan, Complete with pCO Web Ethernet Card ( SNMP ), Dimension : LxDxH 1740x990x1990 mm ), SHR : 0,99%, EER : 3.31 @ 1x238.000.000</t>
  </si>
  <si>
    <t>0048-C76PO-CMM-1022</t>
  </si>
  <si>
    <t>Pelunasan 70% Material PAC @ 1x526.150.000, Instalasi PAC @ 1x33.630.000</t>
  </si>
  <si>
    <t>0010R2-C76PO-CMM-PWR19-0125</t>
  </si>
  <si>
    <t>0239/TUP-INV/VIII/2025</t>
  </si>
  <si>
    <t>0240/TUP-INV/VIII/2025</t>
  </si>
  <si>
    <t>0241/TUP-INV/VIII/2025</t>
  </si>
  <si>
    <t>0242/TUP-INV/VIII/2025</t>
  </si>
  <si>
    <t>Kereta Cepat Indonesia China</t>
  </si>
  <si>
    <t>Primatama Konstruksi</t>
  </si>
  <si>
    <t>Compressor VR52KS-TFP-542 Seri 14CJ79257 @ 1x35.000.000, Freon R22 @ 2x2.500.000, Filter Dryer 1635,02325064 @ 1x1.500.000, Nitrogen 1M3 @ 1x150.000, Oksigen @ 1x150.000, Aksesoris Support @ 1x1.400.000, Smoke Detector FSP-951 @ 4x4.400.000, Reprogramming @ 1x20.000.000, Testing 7 Commissioning @ 1x20.000.000, Perbaikan Control Board @ 1x1.890.000, Perbaikan Driver Board @ 1x2.730.000, Fuse @ 2x400.000, IGBT @ 2x3.760.000</t>
  </si>
  <si>
    <t>89/SPK/PPK/SETJEN.5/08/2025</t>
  </si>
  <si>
    <t>Preventive Maintenance PAC Climaveneta SAU035M 1x Visit KCIC Padalarang @ 2x1.500.000, Maintenance 1x Visit PAC Hisense HEU-F0060B2 Tegalluar @ 1x1.500.000, Maintenance 1x Visit PAC Hisense HED-H100B2 Tegalluar @ 1x1.500.000, Maintenance 1x Visit PAC Hisense HED-F060B2 Tegalluar @ 1x1.500.000, Transportasi @ 1x1.000.000</t>
  </si>
  <si>
    <t>0132/TBUP/GHI/VIII/Rev 1/2025</t>
  </si>
  <si>
    <t>Maintenance PAC &amp; AC @ 1x447.978.972, FSS @ 1x127.138.426</t>
  </si>
  <si>
    <t>237/SPK-CME/PTK/VIII/25</t>
  </si>
  <si>
    <t>Termin Ke-7 Preventive Maintenance HVAC 2025 Periode Jul'25 @ 1x729.000.000</t>
  </si>
  <si>
    <t>Water Treatment (PR_NO. 1012817532) EON BAC GEO 9910 @ 3x1.925.000, EONSCALE T2511 @ 3x1.810.000, EONCOR CT700 @ 3x1.800.000, Van Belt (PR_NO. 1012819589) V-Belt SPA 1280 Lw @ 6x300.000</t>
  </si>
  <si>
    <t>Termin Ke-4 Preventive Maintenance HVAC 2025 Periode Apr'25 @ 1x729.000.000</t>
  </si>
  <si>
    <t>Termin Ke-5 Preventive Maintenance HVAC 2025 Periode Mei'25 @ 1x729.000.000</t>
  </si>
  <si>
    <t>Termin Ke-6 Preventive Maintenance HVAC 2025 Periode Jun'25 @ 1x729.000.000</t>
  </si>
  <si>
    <t>Lunas 25-Aug-25 ( Maybank )</t>
  </si>
  <si>
    <t>PPh 2% = 60.000.000 x2% = 1.200.000</t>
  </si>
  <si>
    <t>0243/TUP-INV/IX/2025</t>
  </si>
  <si>
    <t>0244/TUP-INV/IX/2025</t>
  </si>
  <si>
    <t>0245/TUP-INV/IX/2025</t>
  </si>
  <si>
    <t>0246/TUP-INV/IX/2025</t>
  </si>
  <si>
    <t>0247/TUP-INV/IX/2025</t>
  </si>
  <si>
    <t>0248/TUP-INV/IX/2025</t>
  </si>
  <si>
    <t>0249/TUP-INV/IX/2025</t>
  </si>
  <si>
    <t>0250/TUP-INV/IX/2025</t>
  </si>
  <si>
    <t>Floor Support and Frame for CRAC c/w sei @ 20x10.530.000</t>
  </si>
  <si>
    <t>Floor Support and Frame for FWU c/w Wall @ 6x18.720.000</t>
  </si>
  <si>
    <t>Termin Ke-3 Maintenance PAC @ 4x4.250.000, In Row @ 2x3.500.000, UPS IT @ 2x6.000.000, UPS Staging @ 2x2.500.000, FM @ 1X5.000.000</t>
  </si>
  <si>
    <t>DP 30% Material Kabel NYY 4x25mm2 (include scun &amp; vinyl) @ 50x249.000, Instalasi Kabel NYY 4x25mm2 (include scun &amp; vinyl) @ 50x5.000</t>
  </si>
  <si>
    <t>0003-C70PO-CMM-PWR20-0925</t>
  </si>
  <si>
    <t>Termin Ke-2 40% Climaveneta DAU 070M @ 1x357.000.000</t>
  </si>
  <si>
    <t>Supernova Flexible Packaging ( Bekasi )</t>
  </si>
  <si>
    <t>Axial Fan Oudoor PAC Climaveneta, Tipe : YWF-4E-500S, Brand : Weiguang, 1 Phase, 220 Volt, Dia. 50 @ 1x3.325.000</t>
  </si>
  <si>
    <t>Termin Ke-1 Maintenance PAC Climaveneta DAU 100-M sebanyak 4 Unit Periode Juli'25 @ 4x14.500.000</t>
  </si>
  <si>
    <t>204/CLG/IV/2025</t>
  </si>
  <si>
    <t>06-Aug-25 ( Maybank )</t>
  </si>
  <si>
    <t>Lunas 07-Aug-25 ( Maybnk )</t>
  </si>
  <si>
    <t>Lunas 05-Aug-25 ( Maybank )</t>
  </si>
  <si>
    <t>Lunas 07-Aug-25 ( Maybank )</t>
  </si>
  <si>
    <t>Lunas 14-Aug-25 ( Maybank )</t>
  </si>
  <si>
    <t>Lunas 15-Aug-25 ( Maybank )</t>
  </si>
  <si>
    <t>PPN = 36.234.000 + PPh 1.75% = 5.764.500 + Admin = 2.900</t>
  </si>
  <si>
    <t>Lunas 21-Aug-25 ( Maybank )</t>
  </si>
  <si>
    <t>Lunas 29-Aug-25 ( Maybank )</t>
  </si>
  <si>
    <t>Lunas 22-Aug-25 ( Maybank )</t>
  </si>
  <si>
    <t>PPh = 600.000 x 2% = 12.000</t>
  </si>
  <si>
    <t>PPh = 9.000.000 x 2% = 180.000</t>
  </si>
  <si>
    <t>PPh = 1.400.000 x 2% = 28.000</t>
  </si>
  <si>
    <t>PPh = 26.880.000 x 2% = 537.600</t>
  </si>
  <si>
    <t>PPh = 4.002.018 x 2% = 80.040</t>
  </si>
  <si>
    <t>PPh = 17.671.500 x 2% = 353.430</t>
  </si>
  <si>
    <t>PPh = 10.500.000 x 2% = 210.000</t>
  </si>
  <si>
    <t>PPh = 10.640.000 x 2% = 212.800</t>
  </si>
  <si>
    <t>PPh = 6.720.000 x 2% = 134.400</t>
  </si>
  <si>
    <t>PPh = 5.995.122 x 2% = 119.902</t>
  </si>
  <si>
    <t>PPh = 413.000 x 2% = 8.260</t>
  </si>
  <si>
    <t>PPh = 10.622.500 x 2% = 212.450</t>
  </si>
  <si>
    <t>PPh = 10.542.000 x 2% = 210.840</t>
  </si>
  <si>
    <t>PPh = 1.820.000 x 2% = 36.400</t>
  </si>
  <si>
    <t>PPh = 1.050.000 x 2% = 21.000</t>
  </si>
  <si>
    <t>PPh = 23.541.000 x 2% = 470.820</t>
  </si>
  <si>
    <t>Lunas 10-Sept-25 ( Maybank )</t>
  </si>
  <si>
    <t>Lunas 11-Sept-25 ( Maybank )</t>
  </si>
  <si>
    <t>PPh = 75.00 x 2% = 1500</t>
  </si>
  <si>
    <t>0251/TUP-INV/IX/2025</t>
  </si>
  <si>
    <t>0252/TUP-INV/IX/2025</t>
  </si>
  <si>
    <t>Pelunasan Termin Ke-2 10% PAC Climaveneta @ 6x380.000.000, Material Installasi PAC @ 6x83.000.000, Jasa Instalasi dan Testing Commissioning @ 6x48.000.000</t>
  </si>
  <si>
    <t>Pelunasan Termin Ke-3 5% PAC DX Air Cooled Capacity 38.5 Kw @ 2x260.000.000, Installation Material @ 2x70.000.000, Service : CFD Simulation, Delivery, Mobilization, Installation, Test and Commissioning, Preventive maintenance during the warranty period @ 1x40.000.000</t>
  </si>
  <si>
    <t>Sejahteraraya Anugrahjaya ( Mayapada Hospital Tangerang )</t>
  </si>
  <si>
    <t>0253/TUP-INV/IX/2025</t>
  </si>
  <si>
    <t>DP 20% Penggantian Baterai UPS 200Kva 12Volt 100Ah @ 40x2.305.000, Jasa Penggantian Baterai @ 1x15.000.000, Delivery @ 1x2.500.000</t>
  </si>
  <si>
    <t>PO250808005481</t>
  </si>
  <si>
    <t>0254/TUP-INV/IX/2025</t>
  </si>
  <si>
    <t>Termin Ke-2 Pemeliharaan PAC ruang DRC di Gedung Kantor OJK Surabaya Periode Mei 2025 @ 1x213.468.750</t>
  </si>
  <si>
    <t>Rumah Data Kita ( Evolution Data Center )</t>
  </si>
  <si>
    <t>0255/TUP-INV/IX/2025</t>
  </si>
  <si>
    <t>Filter Udara Ukuran P=88cm, T=30cm, L=4,5cm, Kupingan 1,5cm @ 4x300.000, P=90cm, T=92cm, L=4,5cm @ 8x650.000, P=88cm, T=61,5cm, L=4,5cm @ 4x500.000, P=90cm, T=92cm, L=4,5cm @ 56x650.000, P=88cm, T=74cm, L=10cm @ 2x600.000, P=92xm, T=74,5cm, L=10cm @ 2x650.000, P=94cm, T=74,5cm, L=10cm @ 2x650.000</t>
  </si>
  <si>
    <t>PO-CGK11-0725-00633</t>
  </si>
  <si>
    <t xml:space="preserve">BKKBN </t>
  </si>
  <si>
    <t>0256/TUP-INV/IX/2025</t>
  </si>
  <si>
    <t>3067/I/SP.03/L/2025</t>
  </si>
  <si>
    <t>Termin Ke-1 40% Comprehensive Maintenance PAC Climaveneta @ 2x20.000.000, Preventive Maintenance PAC Huawei @ 1x20.000.000, Preventive Maintenance UPS 60Kva Eaton @ 2x14.000.000, Preventive Maintenance AC Split 1PK @ 1x600.000, Preventive Maintenance AC Standing Floor 5PK @ 1x800.000</t>
  </si>
  <si>
    <t>0257/TUP-INV/IX/2025</t>
  </si>
  <si>
    <t>DP 30% Kabel 4x70mm2 (include scun &amp; vinyl dan joint sleeve &amp; heatshrink) @ 20x712.000, Jasa Kabel 4x70mm2 (include scun &amp; vinyl dan joint sleeve &amp; heatshrink) @ 20x7.500, Kabel 4x25mm2 (include scun &amp; vinyl dan joint sleeve &amp; heatshrink) @ 65x249.000, Jasa Kabel 4x25mm2 (include scun &amp; vinyl dan joint sleeve &amp; heatshrink) @ 65x5.000, Reposisi panel wallmounting ACPDB existing (include koneksi dan terminasi) @ 1x6.500.000</t>
  </si>
  <si>
    <t>0040-C70PO-CMM-PWR18-0925</t>
  </si>
  <si>
    <t>0258/TUP-INV/IX/2025</t>
  </si>
  <si>
    <t>Quarter 2 MECD1501E - Preventive Maintenance 24 Months, Quarterly Service, On Call Service 2 hr in site @ 1x72.000.000, CAHU260 - Preventive Maintenance 24 Months, Quarterly Service, On Call Service 2 hr on site @ 1x750.000.000</t>
  </si>
  <si>
    <t>0259/TUP-INV/IX/2025</t>
  </si>
  <si>
    <t>Termin Ke-3 Preventive Maintenance UPS Eaton : Model 93PR-175 KVA, Tidak termasuk penggantian sparepart @ 2x16.000.000</t>
  </si>
  <si>
    <t>0260/TUP-INV/IX/2025</t>
  </si>
  <si>
    <t>Pengecekan Trouble Compressor Chiller 1 &amp; Chiller 3, Pengecekan General Cleaning &amp; Start Up @ 2x13.000.000, Biaya Akomodasi + Transport 2 engineer selama 3 hari @ 3x1.500.000</t>
  </si>
  <si>
    <t>1351/WO-RBNP.BM/IX/2025</t>
  </si>
  <si>
    <t>0261/TUP-INV/IX/2025</t>
  </si>
  <si>
    <t>Freon R410A @ 5x3.900.000, Nitrogen @ 1x350.000, Kawat Las Listrik @ 5x25.000</t>
  </si>
  <si>
    <t>033/MMM-PO/VIII/2025</t>
  </si>
  <si>
    <t>0262/TUP-INV/IX/2025</t>
  </si>
  <si>
    <t>Termin Ke-3 Maintenance Waterleak DC Hayam Wuruk Periode Januari 2025 - Desember 2026</t>
  </si>
  <si>
    <t>0263/TUP-INV/IX/2025</t>
  </si>
  <si>
    <t>0264/TUP-INV/IX/2025</t>
  </si>
  <si>
    <t>0265/TUP-INV/IX/2025</t>
  </si>
  <si>
    <t>0266/TUP-INV/IX/2025</t>
  </si>
  <si>
    <t>0267/TUP-INV/IX/2025</t>
  </si>
  <si>
    <t>Eaton Industries ( BDX Taman Tekno )</t>
  </si>
  <si>
    <t>134/TUP/PLM/I/2024 PM 93PR600KVA w Battl @ 2x25.000.000</t>
  </si>
  <si>
    <t>Eaton Industries ( MIG Data Center )</t>
  </si>
  <si>
    <t>UPS 250Kva 4xPM Adder 5x8 Quarterly 250Kva LiB 2 Units, UPS 1000Kva 4xPM Adder 5x8 Quarterly 1000Kva LiB 8 Units @ 1x173.603.250</t>
  </si>
  <si>
    <t>4xPM Adder 5x8 Quarterly @ 8x15.824.527, 4xPM Adder 5x8 Quarterly @ 2x15.824.527</t>
  </si>
  <si>
    <t>Eaton Industries ( Digital Edge 2 )</t>
  </si>
  <si>
    <t>4xPM Adder 5x8 Quarterly @ 18x12.500.438, 4xPM Adder 5x8 Quarterly @ 4x12.500.438, 4xPM Adder 5x8 Quarterly @ 2x15.000.525, 4xPM Adder 5x8 Quarterly @ 2x12.500.438</t>
  </si>
  <si>
    <t>Eaton Industries ( STT )</t>
  </si>
  <si>
    <t>1st year 4xPM Adder 5x8, 301-500kva @ 2x11.581.875, 2nd years 4xPM Adder 5x8, 301-500kva @ 2x11.581.875, 1st year 4xPM Adder 5x8, 161-225kva @ 4x10.134.464, 2nd year 4xPM Adder 5x8, 161-225kva @ 4x10.134.464, 1st year 4xPM Adder 5x8, 751-1100kva @ 8x14.476.696, 2nd year 4xPM Adder 5x8, 751-1100kva @ 8x14.476.696</t>
  </si>
  <si>
    <t>0268/TUP-INV/IX/2025</t>
  </si>
  <si>
    <t>0269/TUP-INV/IX/2025</t>
  </si>
  <si>
    <t>PAC DAU 050-M @ 1x280.000.000, Cooper Pipe 2x5/8" c/w insulation merk 4 besar @ 60x500.000, Copper pipe 2x3/4" c/w insulation merk 4 besar @ 60x550.000, Refrigerant R410 @ 3x3.500.000, Oli Kompressor @ 2x1.250.000, Pipa PVC Drain c/w Insulation @ 1x3.260.000, Kabel Power Kabelindo NYY 4x25mm2 + NYA 25mm2 (Panel to PAC) @ 50x450.000, Kabel Control Kabelindo NYY 3x2.5mm2 @ 66x75.000, Cover tray 200mm x 100mm c/w Cover @ 60x550.000, Baseframe unit PAC @ 1x3.450.000, Supply/Return Air Duct @ 1x5.000.000, Support &amp; Material Bantu @ 1x7.500.000, Positioning Unit PAC @ 1x5.340.000, Testing &amp; Commisioning @ 1x4.000.000</t>
  </si>
  <si>
    <t>01/ LogMak / 25-IV / 25</t>
  </si>
  <si>
    <t>Korea Invesment And Sekuritas Indonesia</t>
  </si>
  <si>
    <t>0270/TUP-INV/IX/2025</t>
  </si>
  <si>
    <t>Battery 12Volt - 55Ah Merk G-Power @ 72x2.500.000, Jasa Pemasangan Battery @ 1x5.000.000</t>
  </si>
  <si>
    <t>058/TBUP/GHI/V/Rev-2/2025</t>
  </si>
  <si>
    <t>0271/TUP-INV/IX/2025</t>
  </si>
  <si>
    <t>Fan Outdoor Axial Fan Weiguang 20" YWF4E-500S, 1 Phase 220V/50Hz @ 1x8.300.00</t>
  </si>
  <si>
    <t>098/TUP-PLM/IX/2025</t>
  </si>
  <si>
    <t>Lunas 23-Sept-25 ( Maybank )</t>
  </si>
  <si>
    <t>Lunas 24-Sept-25 ( Maybank )</t>
  </si>
  <si>
    <t>PPh = 715.200 + PPN = 3.933.600</t>
  </si>
  <si>
    <t>Lunas 26-Sept-25 ( Maybank )</t>
  </si>
  <si>
    <t>0272/TUP-INV/IX/2025</t>
  </si>
  <si>
    <t>Pengecekan Troubleshoot PAC TCL TM1017F3U Lokasi : SRS KCIC Cikalong Wetan @ 3x1.500.000, Transportasi @ 1x1.000.000, Replacement 3 Trafo In (Red) : 220V &amp; Out (Black) : 12V Brand : TCL Lokasi : Signal Relay Station 6 (Cikarang Wetan) @ 5x350.000, Jasa Pemasangan Trafo @ 1x4.500.000, Replacement 2 MCB pada panel supply voltage, panel unit PAC tipe : SAU035M, Brand : Climaveneta, Lokasi : Stasiun KCIC Padalarang @ 2x250.000</t>
  </si>
  <si>
    <t>0136/TBUP/GHI/IX/2025</t>
  </si>
  <si>
    <t>Ace Power Solutions ( DCI JK2 )</t>
  </si>
  <si>
    <t>0273/TUP-INV/X/2025</t>
  </si>
  <si>
    <t>To provide manpower and tools to install 600 blocks UPS12-800MRX batteries during office hours including loading &amp; unloading of batteries to JK2 utility floor @ 600x200.000</t>
  </si>
  <si>
    <t>PO-2508-04</t>
  </si>
  <si>
    <t>0274/TUP-INV/X/2025</t>
  </si>
  <si>
    <t>0275/TUP-INV/X/2025</t>
  </si>
  <si>
    <t>0276/TUP-INV/X/2025</t>
  </si>
  <si>
    <t>0277/TUP-INV/X/2025</t>
  </si>
  <si>
    <t>0278/TUP-INV/X/2025</t>
  </si>
  <si>
    <t>0279/TUP-INV/X/2025</t>
  </si>
  <si>
    <t>0280/TUP-INV/X/2025</t>
  </si>
  <si>
    <t>0281/TUP-INV/X/2025</t>
  </si>
  <si>
    <t>0282/TUP-INV/X/2025</t>
  </si>
  <si>
    <t>0283/TUP-INV/X/2025</t>
  </si>
  <si>
    <t>0284/TUP-INV/X/2025</t>
  </si>
  <si>
    <t>0285/TUP-INV/X/2025</t>
  </si>
  <si>
    <t>0286/TUP-INV/X/2025</t>
  </si>
  <si>
    <t>0287/TUP-INV/X/2025</t>
  </si>
  <si>
    <t>0288/TUP-INV/X/2025</t>
  </si>
  <si>
    <t>0289/TUP-INV/X/2025</t>
  </si>
  <si>
    <t>0290/TUP-INV/X/2025</t>
  </si>
  <si>
    <t>0291/TUP-INV/X/2025</t>
  </si>
  <si>
    <t>Thermostatic Expansion Valve Danfoss @ 1x4.750.000, Filter Drier Copeland EK-083S @ 1x375.000, Freon R410A Chemours @ 1x2.300.000, Oksigen @ 1x250.000, Kawat Las @ 5x20.000, Gas LPG @ 1x375.000, Kain Majun @ 1x55.000, Pentil Freon @ 5x27.500, Nitrogen @ 1x300.000, Jasa Pekerjaan @ 1x5.000.000</t>
  </si>
  <si>
    <t>122/TBUP/GHI/VIII/Rev 1/2025</t>
  </si>
  <si>
    <t>Setiakarya Multi Sarana ( BNN Cawang )</t>
  </si>
  <si>
    <t>DP 50% PAC Climaveneta Downflow SAU 035-M @ 1x207.207.207</t>
  </si>
  <si>
    <t>A002/SMS/PO/IX/2025</t>
  </si>
  <si>
    <t xml:space="preserve">Princeton Digita Group Data Centres </t>
  </si>
  <si>
    <t>Termin Ke-1 Preventive Maintenance : Chilled Water SCU160MEX = 20 Unit, Air Cooled CFD Screw Chiller ERAC S2102C-B-INV = 3 Unit, Climapro = 3 Unit @ 1x36.000.000</t>
  </si>
  <si>
    <t>PO640001168</t>
  </si>
  <si>
    <t>Termin Ke-2 2025 Maintenance Chiller @ 3x31.500.000, Pumps @ 6x24.150.000, Cooling Tower @ 3x31.500.000, Precision Air Conditioning @ 25x8.000.000, Scraffolding @ 1x35.000.000, Water Treatment : Weekly @ 1x127.515.000, Monthly @ 1x25.410.000, Bi Monthly @ 1x56.910.000, Annual @ 1x34.410.000</t>
  </si>
  <si>
    <t>Termin Ke-1 Extended Warranty 2025-2026 Coolblade SAO035, Climaveneta, 4 Times visit / year @ 1x41.500.000</t>
  </si>
  <si>
    <t>AT/PO/2025-09/847/TUB</t>
  </si>
  <si>
    <t>Kuat Andal Nan Gemilang ( Novotel Mangga Dua )</t>
  </si>
  <si>
    <t>DP 20% AC Outdoor AV24NMVOVA @ 2x128.000.000, AC Outdoor AV18NMVOVA @ 1x87.800.000, AC Outdoor AV20NMVOVA @ 1x120.000.000, AC Indoor AD722MTERED @ 9x25.000.000, AC Indoor AD542MJERAD @ 2x15.400.000, AC Indoor AB182MRERA @ 2x8.200.000</t>
  </si>
  <si>
    <t>PB-KG-ME-2510-02450A</t>
  </si>
  <si>
    <t>PB-KG-ME-2510-02450B</t>
  </si>
  <si>
    <t>PB-KG-ME-2510-02450C</t>
  </si>
  <si>
    <t>DP 20% AC Single Duct AD66S6SHIFA @ 1x9.743.054, AC Single Duct @ IU66S6SNISB @ 1x14.364.452, Accessories HW-BA316AFK@ 13x800.000, Accessories PB-950KB @ 2x2.600.000, Accessories FOG-B1350A @ 5x2.400.000, Accessories FOG-B730A @ 6x1.600.000</t>
  </si>
  <si>
    <t>DP 20% Accessories YCZ-A004 @ 1x5.715.000, Accessories HA-MA164AD @ 1x860.000</t>
  </si>
  <si>
    <t>Dwimitra Ekatama Mandiri ( Bank Mandiri )</t>
  </si>
  <si>
    <t>Jasa Perhitungan Simulasi CFD Proyek Bank Mandiri @ 1x10.000.000</t>
  </si>
  <si>
    <t>DME/VIII/2025/228/NN</t>
  </si>
  <si>
    <t>Pelunasan Termin Ke-3 40% Climaveneta DAU 070M @ 1x357.000.000</t>
  </si>
  <si>
    <t>ATS type ATS-63/4P ( 63A 400volt ) Merk FEEO @ 1x6.525.000</t>
  </si>
  <si>
    <t>DME/VIII/2025/046/MNT</t>
  </si>
  <si>
    <t>Controller UC51100048E @ 1x15.500.000</t>
  </si>
  <si>
    <t>DME/VII/2025/046/MNT</t>
  </si>
  <si>
    <t>Termin Ke-2 Maintenance Service UPS Periode Jan'25 @ 3x2.600.000, FSS @ 1x3.000.000</t>
  </si>
  <si>
    <t>Pelunasan Termin Ke-4 Maintenance Service UPS Periode Jan'25 @ 3x2.600.000, FSS @ 1x3.000.000</t>
  </si>
  <si>
    <t>Termin Ke-5 Preventive Maintenance Chiller Climaveneta Kapasitas 400 TR @ 1x19.760.000</t>
  </si>
  <si>
    <t>Mobilization Pipe work done in workshop and mobilize to DC later @ 1x5.000.000, Repaint material for pipe cooling tower CT1, CT2 &amp; CT3, price includes Epoxy, blue ftalite paint, filler, thinner, sandpaper @ 1x57.118.000, Replacement Corroded Pipe 10" CT2 + CT3 + Support repairment @ 1x59.650.000, Repaint CableTray CT1, CT2, ,CT3 @ 1x8.502.000, Machining Cooling Tower CT2 @ 1x11.272.000, Labor @ 1x8.770.000</t>
  </si>
  <si>
    <t>PO24644</t>
  </si>
  <si>
    <t>Fan Belt SPA 4250 LW Brand Mitsiboshi for 2 fan in FOCS1, FOCS2, TECS Cooling Tower Prince includes installation @ 24.800.000</t>
  </si>
  <si>
    <t>PO24727</t>
  </si>
  <si>
    <t>Eaton Industries ( PDG JC2 Balance Phase DH204 )</t>
  </si>
  <si>
    <t>BCB Panel @ 4x53.332.870, DC Cabling UPS to BCB Panel @ 4x58.065.480, Interlink cabling BCB Panel to Rack @ 4x45.942.238, Sync Cable @ 4x18.500.000, Loadbank for SAT @ 1x300.000.000</t>
  </si>
  <si>
    <t>Land Transport and Position for UPS and @ 4x12.500.000, Installation of UPS Power Module @ 4x20.000.000, Installation of Lithium Ion Batteries @ 4x20.000.000</t>
  </si>
  <si>
    <t>Lunas 01-Aug-25, 03-Okt-25 ( Maybank )</t>
  </si>
  <si>
    <t>Lunas 10-Okt-25 ( Maybank )</t>
  </si>
  <si>
    <t>PPh = 306.600.000 x 1.75% = 5.365.500</t>
  </si>
  <si>
    <t>PPh = 35.000.000 x 1.75% = 612.500</t>
  </si>
  <si>
    <t>PPh = 4.996.080 x 2% = 99.922</t>
  </si>
  <si>
    <t>Panen Lestari Indonesia ( Sogo Supermal Karawaci )</t>
  </si>
  <si>
    <t>0292/TUP-INV/X/2025</t>
  </si>
  <si>
    <t>0293/TUP-INV/X/2025</t>
  </si>
  <si>
    <t>08/GA/SK/SG/2025 &amp; 14/10/2025</t>
  </si>
  <si>
    <t>Fan UPS : voltage 230Vac, Frequency 50/60Hz, Current 0.28A, Power Consumption 38w/45w, dimesion 150x172x55mm @ 1x2.700.000</t>
  </si>
  <si>
    <t>Termin 3 Maintenance PAC Gedung Merah Putih ( Jul'25 - Sept'25 ) @ 2x1.931.250 selama 1 tahun</t>
  </si>
  <si>
    <t>Termin 2 Maintenance PAC Gedung Merah Putih ( Apr'25 - Jun'25 ) @ 2x1.931.250 selama 1 tahun</t>
  </si>
  <si>
    <t>Fan UPS : voltage 230Vac, Frequency 50/60Hz, Current 0.28A, Power Consumption 38w/45w, dimesion 150x172x55mm @ 1x12.300.000</t>
  </si>
  <si>
    <t>0294/TUP-INV/X/2025</t>
  </si>
  <si>
    <t>01/SPBMTC/PLINDO-TUP/SGSK/IX/2025</t>
  </si>
  <si>
    <t xml:space="preserve">PPh 2% </t>
  </si>
  <si>
    <t>Lunas 17-Okt-25 ( Maybank )</t>
  </si>
  <si>
    <t>0295/TUP-INV/X/2025</t>
  </si>
  <si>
    <t>Termin Ke-1 Maintenance Chiller TECS-W39103L-E/HE Climaveneta @ 2x12.600.000, 3 Unit Condensor dan Chiller Water Pump @ 6x7.700.000, Preventive Maintenance Controller @ 1x16.100.000</t>
  </si>
  <si>
    <t>0439/ASM/SPMK/VIII/2025</t>
  </si>
  <si>
    <t>Lunas 20-Okt-25 ( Maybank )</t>
  </si>
  <si>
    <t>Lunas 12-Sept-25 ( Mandiri )</t>
  </si>
  <si>
    <t>Lunas 08-Sept-25 ( Maybank )</t>
  </si>
  <si>
    <t>PPh = 2.274.800 + PPN = 12.511.400</t>
  </si>
  <si>
    <t>Lunas 12-Sept-25 ( Maybank )</t>
  </si>
  <si>
    <t>PPh = 920.000 + PPN = 5.060.000</t>
  </si>
  <si>
    <t>Lunas 16-Sept-25 ( Maybank )</t>
  </si>
  <si>
    <t>Lunas 17-Sept-25 ( Maybank )</t>
  </si>
  <si>
    <t>PPh = 2.092.500 x 2% = 41.850</t>
  </si>
  <si>
    <t>Lunas 18-Sept-25 ( Maybank )</t>
  </si>
  <si>
    <t>Adm Bank</t>
  </si>
  <si>
    <t>Lunas 29-Sept-25 ( Maybank )</t>
  </si>
  <si>
    <t>Lunas 30-Sept-25 ( Maybank )</t>
  </si>
  <si>
    <t>PPh = 180.000</t>
  </si>
  <si>
    <t>Lunas 22-Okt-25 ( Maybank )</t>
  </si>
  <si>
    <t>Termin Ke 9 Preventive Maintenance HVAC 2025 Periode September'25 @ 1x729.000.000</t>
  </si>
  <si>
    <t>Termin Ke-8 Preventive Maintenance HVAC 2025 Periode Agustus'25 @ 1x729.000.000</t>
  </si>
  <si>
    <t>0296/TUP-INV/X/2025</t>
  </si>
  <si>
    <t>Lunas 01-Okt-25 ( Maybank )</t>
  </si>
  <si>
    <t>0297/TUP-INV/X/2025</t>
  </si>
  <si>
    <t>0298/TUP-INV/X/2025</t>
  </si>
  <si>
    <t>0299/TUP-INV/X/2025</t>
  </si>
  <si>
    <t>0300/TUP-INV/X/2025</t>
  </si>
  <si>
    <t>Pelunasan 70% Besi UNP 80 ( Include Pondasi ) Penambahan untuk modifikasi tiang platform dan pondasi tiang (see drawing) @ 7x1.250.000, Jasa penambahan modifikasi tiang platform (see drawing) @ 1x2.500.000</t>
  </si>
  <si>
    <t>Pelunasan 70% Material PAC @ 1x245.725.000, Jasa PAC @ 1x12.640.000</t>
  </si>
  <si>
    <t>Pelunasan 70% Material PAC @ 1x278.535.000, Jasa PAC @ 1x36.275.000</t>
  </si>
  <si>
    <t>Pelunasan 70% Material PAC @ 1x468.475.000, Jasa PAC @ 1x19.575.000</t>
  </si>
  <si>
    <t>Lunas 25-Sept-25 ( Maybank )</t>
  </si>
  <si>
    <t>PPh 2% = 5.114.326</t>
  </si>
  <si>
    <t>PPh 2% = 18.045.261</t>
  </si>
  <si>
    <t>PPh 2% = 2.537.500</t>
  </si>
  <si>
    <t>PPh 2% = 10.100.000</t>
  </si>
  <si>
    <t>Internet Data Center Makassar QQ Orix Indonesia Finance</t>
  </si>
  <si>
    <t>0301/TUP-INV/IX/2025</t>
  </si>
  <si>
    <t>Floor support and Frame for FWU @ 10x10.000.000, Floor support and Frame CRAC @ 16x10.000.000</t>
  </si>
  <si>
    <t>Manpower T&amp;C @ 4x35.959.412, 4 Hours Burn In Test @ 4x35.000.000, Supply Engineer durin Site Acceptenance Test @ 4x55.000.000, Supply Enginner during Integrated system @ 4x55.000.000</t>
  </si>
  <si>
    <t>Eaton Industries ( PDG JC2 Rack and PDU PH2 )</t>
  </si>
  <si>
    <t>Delivery, Positioning and Installation @ 1x333.000.000</t>
  </si>
  <si>
    <t>BCB Panel @ 4x53.332.870, Loadbank for SAT @ 1x300.000.000, Manpower T&amp;C @ 4x35.959.412, 4 Hours Burn In Test @ 4x35.000.000, Supply Engineer during Site Acceptance Test @ 4x55.000.000, Supply Engineer during Integrated System @ 4x55.000.000</t>
  </si>
  <si>
    <t>Refill FM200 33Kg @ 1x45.880.000</t>
  </si>
  <si>
    <t>PO25160899</t>
  </si>
  <si>
    <t>Pelunasan 70% Jasa Pasang + Bongkar AC Standing untuk Backup @ 4x2.500.000</t>
  </si>
  <si>
    <t>0031-C76PO-CMM-PWR21-0725</t>
  </si>
  <si>
    <t>0031R1-C76PO-CMM-PWR21-0725</t>
  </si>
  <si>
    <t>Pelunasan 70% Material PAC @ 1x336.000.000, Instalasi PAC @ 1x30.000.000</t>
  </si>
  <si>
    <t>Pelunasan 70% Material PAC @ 1x498.000.000, Instalasi PAC @ 1x15.000.000</t>
  </si>
  <si>
    <t>Preventive Maintenance PAC 1x Visit sebanyak 32 Unit di UPT Halim, UPT Signaling Karawang, UPT Signaling Padalarang, UPT Tegalluar, Depo Tegalluar, UPT Signaling CTC Tegalluar</t>
  </si>
  <si>
    <t>0145/TBUP/GHI/X/2025</t>
  </si>
  <si>
    <t>Dwimitra Ekatama Mandiri ( OCBC )</t>
  </si>
  <si>
    <t>Termin Ke-2 Preventive Maintenance PAC Climaveneta SCU180 MEX Serial Number : A211002039, A211002038, A211002037, A211002036 @ 4x10.800.000</t>
  </si>
  <si>
    <t>Telkom Data Ekosistem ( Neutra DC Surabaya )</t>
  </si>
  <si>
    <t>Pelunasan 50% PAC Climaveneta Downflow SAU 035-M @ 1x207.207.207</t>
  </si>
  <si>
    <t>Termin Ke-1 10% Pekerjaan Pengadaan Peremajaan PAC DC Surabaya @ 1x2.799.000.000</t>
  </si>
  <si>
    <t>Termin Ke-2 25% Pekerjaan Pengadaan Peremajaan PAC DC Surabaya @ 1x2.799.000.000</t>
  </si>
  <si>
    <t>K.TDE.0110/LEG.PRJ/VII/2025</t>
  </si>
  <si>
    <t>Siemens Energy Indonesia ( JKT02 DC-150kV GIS Substation )</t>
  </si>
  <si>
    <t>Termin Ke-1 60% Air Conditioner &amp; Ventilation Installation @ 1x1.043.111.000, Mechanical Ventilation @ 1x934.541.000, Mechanical Commissioning @ 1x200.000.000</t>
  </si>
  <si>
    <t xml:space="preserve">Penggantian Oli Kompresor Emkaratel RL 170 untuk 3 Unit Chiller @ 7x1.875.000, Penggantian Filter Core Drier 3 unit chiller Emerson D48 @ 4x1.100.000, Jasa Service Panel Chiller dan Harmonic Filter, Inverter Compressor, Fan Condenser @ 3x18.050.000, Descaling Condesor cuci coil + chemical @ 3x12.000.000, Analisa kualitas air chiller semi annualy (2x /thn) @ 2x575.000, Penggantian water coolant untuk 3 unit chiller TOP Water Coolant @ 2x1.225.000, Labor cost + Reporting 3 unit chiller @ 9x3.500.000 </t>
  </si>
  <si>
    <t>046/MMM-PO/X/2025</t>
  </si>
  <si>
    <t>Pelunasan Termin Ke-4 Preventive Maintenance Chiller Climaveneta @ 1x88.000.000</t>
  </si>
  <si>
    <t>Termin Ke-2 Maintenance PAC Climaveneta DAU 100-M sebanyak 4 Unit Periode Juli'25 @ 4x14.500.000</t>
  </si>
  <si>
    <t>Pelunasan 70% Material PAC @ 1x449.800.000, Jasa PAC @ 1x19.200.000</t>
  </si>
  <si>
    <t>Pelunasan 70% Material PAC @ 1x15.660.000, Jasa PAC @ 1x400.000</t>
  </si>
  <si>
    <t>0043-C70PO-CMM-PWR18-1124</t>
  </si>
  <si>
    <t>Pelunasan 70% Material PAC @ 1x672.000.000, Instalasi PAC @ 1x30.000.000</t>
  </si>
  <si>
    <t>Pelunasan 70% Material PAC @ 1x169.655.000, Jasa PAC @ 1x54.425.000</t>
  </si>
  <si>
    <t>Pelunasan 70% Kabel 4x70mm2 (include scun &amp; vinyl dan joint sleeve &amp; heatshrink) @ 20x712.000, Jasa Kabel 4x70mm2 (include scun &amp; vinyl dan joint sleeve &amp; heatshrink) @ 20x7.500, Kabel 4x25mm2 (include scun &amp; vinyl dan joint sleeve &amp; heatshrink) @ 65x249.000, Jasa Kabel 4x25mm2 (include scun &amp; vinyl dan joint sleeve &amp; heatshrink) @ 65x5.000, Reposisi panel wallmounting ACPDB existing (include koneksi dan terminasi) @ 1x6.500.000</t>
  </si>
  <si>
    <t>Termin Ke-2 Perbaikan Chiller 2 Non Betalaktam @ 1x950.000.000</t>
  </si>
  <si>
    <t xml:space="preserve">Kompas Media Nusantara </t>
  </si>
  <si>
    <t>Pressure Sensor 77CP055M030SNAA0C, 0-30bar, 4-20mA ( Chiller No. 2 ) @ 1x1.700.000, Jasa Pemasangan @ 1x2.500.000</t>
  </si>
  <si>
    <t>PPH = 2.500.000 - 10% = 2.250.000 x 2% = 45.000</t>
  </si>
  <si>
    <t>Lunas 14-Nov-25 ( Maybank )</t>
  </si>
  <si>
    <t>Lunas 07-Nov-25 ( Maybank )</t>
  </si>
  <si>
    <t>PPh 1.75% = 3.557.509</t>
  </si>
  <si>
    <t>PPh 1.75% = 2.367.414</t>
  </si>
  <si>
    <t>PPH 1.75% = 336.000</t>
  </si>
  <si>
    <t>Lunas 11-Nov-25 ( Maybank )</t>
  </si>
  <si>
    <t>Jasa Pemeliharaan Tata Udara @ 1x9.000.000</t>
  </si>
  <si>
    <t>POL/2025/00583</t>
  </si>
  <si>
    <t>POL/2025/01118</t>
  </si>
  <si>
    <t>PPh 2% = 180.000</t>
  </si>
  <si>
    <t>Lunas 02-Okt-25 ( Maybank )</t>
  </si>
  <si>
    <t>Lunas 16-Okt-25 ( Maybank )</t>
  </si>
  <si>
    <t>PPh 2% = 3.000.000x2% = 60.000 + Adm 2.900</t>
  </si>
  <si>
    <t>Lunas 21-Okt-25 ( Maybank )</t>
  </si>
  <si>
    <t>PPh 1.5% = 124.500 + PPN = 913.000</t>
  </si>
  <si>
    <t>Lunas 23-Okt-25 ( Maybank )</t>
  </si>
  <si>
    <t>Lunas 27-Okt-25 ( Maybank )</t>
  </si>
  <si>
    <t>Lunas 15-Okt-25, 28-Okt-25 ( Maybank )</t>
  </si>
  <si>
    <t>Lunas 29-Okt-25 ( Maybank )</t>
  </si>
  <si>
    <t>Lunas 24-Okt-25 ( Maybank )</t>
  </si>
  <si>
    <t>0327/TUP-INV/X/2025</t>
  </si>
  <si>
    <t>Termin Ke-3 DAU 100M @ 3x370.000.000</t>
  </si>
  <si>
    <t>Termin Ke-4 DAU 100M @ 3x370.000.000</t>
  </si>
  <si>
    <t>Lunas 17-Nov-25 ( Maybank )</t>
  </si>
  <si>
    <t>Adm 2.900</t>
  </si>
  <si>
    <t>MettaDC Teknologi Indonesia ( HDC )</t>
  </si>
  <si>
    <t>Pelunasan Termin Ke-6 Preventive Maintenance Chiller Climaveneta Kapasitas 400 TR @ 1x19.760.000</t>
  </si>
  <si>
    <t>Replacement 3 Unit Selenoid Valve Type HM, 220-230V, 8Watt, Merk Castel dan Jasa Pemasangan coil Selenoid Valve, Pengurangan refrigerant R134 @ 1x4.650.000</t>
  </si>
  <si>
    <t>057/MettaDC/PO-XI-2025</t>
  </si>
  <si>
    <t>Pengembalian dana Rp 80.000 tgl 19-Nov-25 untuk pemotongan pph23</t>
  </si>
  <si>
    <t>Dinamika Aircon ( Dinas Pendidikan Makassar )</t>
  </si>
  <si>
    <t>DP 50% PAC Climaveneta DAU 050 @ 1x250.000.000</t>
  </si>
  <si>
    <t>DP 50% Jasa Pengiriman dari Gudang Tribangun ke Dinas Pendidikan Makassar berupa unit dan material instalasi @ 1x25.000.000</t>
  </si>
  <si>
    <t>157/PO-SP/DAC-TBP/XI/2025</t>
  </si>
  <si>
    <t>155/PO-SP/DAC-TBP/XI/2025</t>
  </si>
  <si>
    <t>Preventive Maintenance PAC @ 339x450.000, Akomodasi Transport Jabodetabek @ 1x 1x900.000</t>
  </si>
  <si>
    <t>Kereta Cepat Indonesia China ( KCIC Padalarang )</t>
  </si>
  <si>
    <t>Freon R410A @ 2x925.000, Oksigen @ 1x250.000, Kawat Las @ 10x20.000, Gas LPJ @ 1x55.000, Pentil Freon @ 10x35.000, Nitrogen @ 2x300.000, Jasa Pekerjaan @ 1x6.000.000, Transportasi @ 1x1.000.000</t>
  </si>
  <si>
    <t>0163/TBUP/GHI/X/2025</t>
  </si>
  <si>
    <t>Lunas 20-Nov-25 ( Maybank )</t>
  </si>
  <si>
    <t xml:space="preserve">PPh 2% 1.940.000 </t>
  </si>
  <si>
    <t>Lunas 28-Okt-25 ( Mandiri )</t>
  </si>
  <si>
    <t>Lunas 02-Okt-25 ( Permata )</t>
  </si>
  <si>
    <t>Telkom Infra ( TSA Consumable Part )</t>
  </si>
  <si>
    <t>Consumable Part PAC Central Cluster @ 1x352.785.330</t>
  </si>
  <si>
    <t>Telkom Infra ( TSA Maintenance PAC Q2 2025 )</t>
  </si>
  <si>
    <t>Preventive Maintenance PAC @ 352x450.000, Akomodasi Transport Jabodetabek @ 1x 1x900.000</t>
  </si>
  <si>
    <t>Lunas 24-11-25 ( Maybank )</t>
  </si>
  <si>
    <t>0337/TUP-INV/XI/2025</t>
  </si>
  <si>
    <t>PPh = 437.500 + PPn = 2.406.250</t>
  </si>
  <si>
    <t>Wijaya Karya Bangunan Gedung ( KCIC Halim )</t>
  </si>
  <si>
    <t>0338/TUP-INV/XI/2025</t>
  </si>
  <si>
    <t>TP.02.01/A.9WGJ02.2664/09/2022</t>
  </si>
  <si>
    <t>Pelunasan Retensi 5% pengadaan dan pemasangan Instalasi PAC KCIC Halim @ 1x3.714.800.000</t>
  </si>
  <si>
    <t>0302/TUP-INV/XI/2025</t>
  </si>
  <si>
    <t>0303/TUP-INV/XI/2025</t>
  </si>
  <si>
    <t>0304/TUP-INV/XI/2025</t>
  </si>
  <si>
    <t>0305/TUP-INV/XI/2025</t>
  </si>
  <si>
    <t>0306/TUP-INV/XI/2025</t>
  </si>
  <si>
    <t>0307/TUP-INV/XI/2025</t>
  </si>
  <si>
    <t>0308/TUP-INV/XI/2025</t>
  </si>
  <si>
    <t>0309/TUP-INV/XI/2025</t>
  </si>
  <si>
    <t>0310/TUP-INV/XI/2025</t>
  </si>
  <si>
    <t>0311/TUP-INV/XI/2025</t>
  </si>
  <si>
    <t>0312/TUP-INV/XI/2025</t>
  </si>
  <si>
    <t>0313/TUP-INV/XI/2025</t>
  </si>
  <si>
    <t>0314/TUP-INV/XI/2025</t>
  </si>
  <si>
    <t>0315/TUP-INV/XI/2025</t>
  </si>
  <si>
    <t>0316/TUP-INV/XI/2025</t>
  </si>
  <si>
    <t>0317/TUP-INV/XI/2025</t>
  </si>
  <si>
    <t>0318/TUP-INV/XI/2025</t>
  </si>
  <si>
    <t>0319/TUP-INV/XI/2025</t>
  </si>
  <si>
    <t>0320/TUP-INV/XI/2025</t>
  </si>
  <si>
    <t>0321/TUP-INV/XI/2025</t>
  </si>
  <si>
    <t>0322/TUP-INV/XI/2025</t>
  </si>
  <si>
    <t>0323/TUP-INV/XI/2025</t>
  </si>
  <si>
    <t>0324/TUP-INV/XI/2025</t>
  </si>
  <si>
    <t>0325/TUP-INV/XI/2025</t>
  </si>
  <si>
    <t>0326/TUP-INV/XI/2025</t>
  </si>
  <si>
    <t>0328/TUP-INV/XI/2025</t>
  </si>
  <si>
    <t>0329/TUP-INV/XI/2025</t>
  </si>
  <si>
    <t>0330/TUP-INV/XI/2025</t>
  </si>
  <si>
    <t>0331/TUP-INV/XI/2025</t>
  </si>
  <si>
    <t>0332/TUP-INV/XI/2025</t>
  </si>
  <si>
    <t>0333/TUP-INV/XI/2025</t>
  </si>
  <si>
    <t>0334/TUP-INV/XI/2025</t>
  </si>
  <si>
    <t>0335/TUP-INV/XI/2025</t>
  </si>
  <si>
    <t>0336/TUP-INV/XI/2025</t>
  </si>
  <si>
    <t>Lunas 05-Des-25 ( Maybank )</t>
  </si>
  <si>
    <t>0339/TUP-INV/XI/2025</t>
  </si>
  <si>
    <t>Termin Ke-5 DAU 100M @ 3x370.000.000</t>
  </si>
  <si>
    <t>0340/TUP-INV/XII/2025</t>
  </si>
  <si>
    <t>Pelunasan Termin Ke-4 Maintenance PAC @ 4x4.250.000, In Row @ 2x3.500.000</t>
  </si>
  <si>
    <t>0341/TUP-INV/XII/2025</t>
  </si>
  <si>
    <t>Water Treatment EONCOR CT700 @ 3x1.800.000, Water Treatment EON BAC GEO 9910 @ 3x1925.000, Water Treatment @ EONSCALE T2511 @ 3x1.810.000</t>
  </si>
  <si>
    <t>0342/TUP-INV/XII/2025</t>
  </si>
  <si>
    <t>Baterai VRLA 12V-26AH Merk G-Power @ 80x1.000.000</t>
  </si>
  <si>
    <t>014.PO/PT-SCM/2025</t>
  </si>
  <si>
    <t>Limawira Wisesa ( JICT )</t>
  </si>
  <si>
    <t>0343/TUP-INV/XII/2025</t>
  </si>
  <si>
    <t>0353/TUP-INV/XII/2025</t>
  </si>
  <si>
    <t>0363/TUP-INV/XII/2025</t>
  </si>
  <si>
    <t>0373/TUP-INV/XII/2025</t>
  </si>
  <si>
    <t>0383/TUP-INV/XII/2025</t>
  </si>
  <si>
    <t>Precision AC Unit DX Air Cooled, DAU/O-035-M, R410A, Downflow with material @ 1x251.200.000</t>
  </si>
  <si>
    <t>LPO/FF/PQ.0292/2025</t>
  </si>
  <si>
    <t>0344/TUP-INV/XII/2025</t>
  </si>
  <si>
    <t>Jasa Sewa Maintenance Data Center 2025 Periode Jul'25 @ 1x82.740.000</t>
  </si>
  <si>
    <t>BRC082</t>
  </si>
  <si>
    <t>0345/TUP-INV/XII/2025</t>
  </si>
  <si>
    <t>Termin 4 Maintenance PAC Gedung Merah Putih ( Jul'25 - Sept'25 ) @ 2x1.931.250 selama 1 tahun</t>
  </si>
  <si>
    <t>Jasa Sewa Maintenance Data Center 2025 Periode Aug'25 @ 1x82.740.000</t>
  </si>
  <si>
    <t>Wijaya Karya Bangunan Gedung ( KCIC Karawang )</t>
  </si>
  <si>
    <t>0347/TUP-INV/XI/2025</t>
  </si>
  <si>
    <t>Pelunasan Retensi 5% pengadaan dan pemasangan Instalasi PAC KCIC Karawang @ 1x2.680.000</t>
  </si>
  <si>
    <t>TP.02.01/F.PPK-WG-KCIC-KRWG.068/X/2022</t>
  </si>
  <si>
    <t>Dhammavihari</t>
  </si>
  <si>
    <t>0346/TUP-INV/XII/2025</t>
  </si>
  <si>
    <t>0348/TUP-INV/XII/2025</t>
  </si>
  <si>
    <t>0349/TUP-INV/XII/2025</t>
  </si>
  <si>
    <t>180/TBUP/TRN/XI/Rev5/2025</t>
  </si>
  <si>
    <t>DP 20% AC Floor Standing 5PK Non Inverter Indoor : IU48NC1QAB Outdoor : AP48KC1QRA @ 6x18.500.000, AC Floor Standing 5PK Inverter Indoor : IU48NC1QRB Outdoor : AP48KC1QRA @ 3x18.500.000, Delivery Cost to Surabaya @ 1x5.000.000</t>
  </si>
  <si>
    <t>Jasa Sewa Maintenance Data Center 2025 Periode Okt'25 @ 1x82.740.000</t>
  </si>
  <si>
    <t>Lami Packaging Indonesia</t>
  </si>
  <si>
    <t>0350/TUP-INV/XII/2025</t>
  </si>
  <si>
    <t>EC Fan Repair Precision Air Conditioning @ 1x44.580.000</t>
  </si>
  <si>
    <t>Sejahtera Inti Sentosa ( Mayapada Hospital Kuningan )</t>
  </si>
  <si>
    <t>0351/TUU-INV/XII/2025</t>
  </si>
  <si>
    <t>Penggantian Baterai UPS 1 Serial No : IJ3NMU41015001 Volt 12V 150AH @ 34x4.200.000, Penggantian Baterai UPS 2 Serial No : IJ3NMU41013001 Volt 12V 150AH @ 34x4.200.000, Instalasi for 2 bank (2x34) CPCS Batter Replacement @ 2x20.000.000</t>
  </si>
  <si>
    <t>PO2508260424</t>
  </si>
  <si>
    <t>0352/TUP-INV/XII/2025</t>
  </si>
  <si>
    <t>Termin Ke-2 Preventive Maintenance Chiller Model : ERACS1501C-B-HE-INV, Brand Climaveneta, 4 Times Visit / Years @ 2x10.000.000</t>
  </si>
  <si>
    <t>Artha Tekhnik Mandiri ( Gedung Graha Pena )</t>
  </si>
  <si>
    <t>Oli Compressor Emkarate RL-68 @ 12x2.125.000</t>
  </si>
  <si>
    <t>PO/084/ATM-TBUP/05122025</t>
  </si>
  <si>
    <t>Dinamika Air Con ( Dinas Pendidikan Kota Makassar )</t>
  </si>
  <si>
    <t>Termin Ke-2 25% PAC Climaveneta DAU 050 @ 1x250.000.000</t>
  </si>
  <si>
    <t>0354/TUP-INV/XII/2025</t>
  </si>
  <si>
    <t>0355/TUP-INV/XII/2025</t>
  </si>
  <si>
    <t>Pelunasan 50% Jasa Pengiriman dari Gudang Tribangun ke Dinas Pendidikan Makassar berupa unit dan material instalasi @ 1x25.000.000</t>
  </si>
  <si>
    <t>0356/TUP-INV/XII/2025</t>
  </si>
  <si>
    <t>Compressor @ 1x11.000.000, Filter Dryer @ 1x1.000.000, Freon R407 @ 5x2.500.000, Nitrogen @ 1x500.000, Oli Compressor Emkarete RL 32 @ 1x2.500.000, Jasa Pemasangan @ 1x3.000.000</t>
  </si>
  <si>
    <t>Mora Telematika Indonesia ( Nusantara Data Center )</t>
  </si>
  <si>
    <t>0357/TUP-INV/XII/2025</t>
  </si>
  <si>
    <t>Termin Ke-1 Maintenance NDC Jakarta : PAC Citec DC Lobby @ 4x3.160.851, PAC Airsys DC Lantai 1 @ 6x1.959.000, PAC Airsys DC Lantain 2 @ 7x3.425.000, PAC Airsys Cybercool DC Lantai 2 @ 2x1.935.674, Maintenance PAC NDC Batam PAC Citec @ 4x3.061.111, PAC Airsys @ 4x3.061.111, PAC Climaveneta @ 1x3.061.111, Maintenance PAC NDC Medan PAC Liebert/Emerson @ 3x3.175.000, Maintenance PAC NDC Palembang PAC Liebert/Emerson dan Airsys @ 7x3.928.572, Maintenance PAC NDC Surabaya @3x4.393.750</t>
  </si>
  <si>
    <t>229/PKS/MTI-TUP/X/2025</t>
  </si>
  <si>
    <t>BKKBN</t>
  </si>
  <si>
    <t>Pelunasan Termin Ke-2 60% Comprehensive Maintenance PAC Climaveneta @ 2x20.000.000, Preventive Maintenance PAC Huawei @ 1x20.000.000, Preventive Maintenance UPS 60Kva Eaton @ 2x14.000.000, Preventive Maintenance AC Split 1PK @ 1x600.000, Preventive Maintenance AC Standing Floor 5PK @ 1x800.000</t>
  </si>
  <si>
    <t>0358/TUP-INV/XII/2025</t>
  </si>
  <si>
    <t>0359/TUP-INV/XII/2025</t>
  </si>
  <si>
    <t>Pelunasan 80% AC Floor Standing 5PK Non Inverter Indoor : IU48NC1QAB Outdoor : AP48KC1QRA @ 6x18.500.000, AC Floor Standing 5PK Inverter Indoor : IU48NC1QRB Outdoor : AP48KC1QRA @ 3x18.500.000, Delivery Cost to Surabaya @ 1x5.000.000</t>
  </si>
  <si>
    <t>0360/TUP-INV/XII/2025</t>
  </si>
  <si>
    <t>Pelunasan Termin Ke-3 Pemeliharaan PAC ruang DRC di Gedung Kantor OJK Surabaya Periode Mei 2025 @ 1x213.468.750</t>
  </si>
  <si>
    <t>0361/TUP-INV/XII/2025</t>
  </si>
  <si>
    <t>Pelunasan 70% Material Kabel NYY 4x25mm2 (include scun &amp; vinyl) @ 50x249.000, Instalasi Kabel NYY 4x25mm2 (include scun &amp; vinyl) @ 50x5.000</t>
  </si>
  <si>
    <t>0362/TUP-INV/XII/2025</t>
  </si>
  <si>
    <t>Pelunasan 70% Material PAC @ 1x780.510.000, Jasa PAC @ 1x190.990.000</t>
  </si>
  <si>
    <t>Pelunasan 70% Tray perforated 200x100x3000mm ( Include Support ) @ 4x1.500.000, Jasa Tray perforated 200x300x3000 mm @4x500.000</t>
  </si>
  <si>
    <t>0364/TUP-INV/XII/2025</t>
  </si>
  <si>
    <t>Pelunasan 70% Material PAC @ 1x34.395.000, Jasa PAC @ 1x1.305.000</t>
  </si>
  <si>
    <t>0365/TUP-INV/XII/2025</t>
  </si>
  <si>
    <t>Pelunasan 70% Material PAC @ 1x32.785.000, Jasa PAC @ 1x15.980.000</t>
  </si>
  <si>
    <t>0366/TUP-INV/XII/2025</t>
  </si>
  <si>
    <t>Pelunasan 70% Material PAC @ 1x224.900.000, Jasa PAC @ 1x9.600.000</t>
  </si>
  <si>
    <t>0367/TUP-INV/XII/2025</t>
  </si>
  <si>
    <t>Pelunasan 70% Material PAC @ 1x254.180.100, Jasa PAC @ 1x14.518.000</t>
  </si>
  <si>
    <t>Cahaya Mutiara Mandiri ( Banjarmasin Centrum )</t>
  </si>
  <si>
    <t>0368/TUP-INV/XII/2025</t>
  </si>
  <si>
    <t>0024-C70PO-CMM-PWR22-1225</t>
  </si>
  <si>
    <t>Cahaya Mutiara Mandiri ( Batam Center )</t>
  </si>
  <si>
    <t>0369/TUP-INV/XII/2025</t>
  </si>
  <si>
    <t>0025-C70PO-CMM-PWR22-1225</t>
  </si>
  <si>
    <t>Cahaya Mutiara Mandiri ( Solo Gladak )</t>
  </si>
  <si>
    <t>0370/TUP-INV/XII/2025</t>
  </si>
  <si>
    <t>0026-C70PO-CMM-PWR22-1225</t>
  </si>
  <si>
    <t>Cahaya Mutiara Mandiri ( Cikupa )</t>
  </si>
  <si>
    <t>0371/TUP-INV/XII/2025</t>
  </si>
  <si>
    <t>0027-C70PO-CMM-PWR22-1225</t>
  </si>
  <si>
    <t>Cahaya Mutiara Mandiri ( Sorong )</t>
  </si>
  <si>
    <t>0372/TUP-INV/XII/2025</t>
  </si>
  <si>
    <t>DP 30% Material PAC @ 1x336.000.000, Jasa PAC @ 1x15.000.000</t>
  </si>
  <si>
    <t>0028-C70PO-CMM-PWR22-1225</t>
  </si>
  <si>
    <t>Cahaya Mutiara Mandiri ( Batuampar )</t>
  </si>
  <si>
    <t>0029-C70PO-CMM-PWR22-1225</t>
  </si>
  <si>
    <t>0374/TUP-INV/XII/2025</t>
  </si>
  <si>
    <t>Notifier @ 1x68.000.000, Smoke Detector smoke FSP951 @ 2x2.700.000, Smoke Detector heat @ FSP951 @ 2x2.400.000, Manual Abort &amp; Release NBG12-LRA @ 1x8.850.000, Alarm Bell SSM24-6 @ 1x1.650.000, Horn Stobe SYS-HS @ 1x2.210.000, Gas Discharge Signage Lamp @ 1x1.740.000, Evacuate Area Signage Lamp @ 1x740.000, FCM-1 @ 2x2.375.000, FMM-101 @ 3x1.450.000, FCM-1 rel @ 1x8.800.000, FRM-1 @ 2x2.600.000, Box Module 700x550x150mm @ 1x3.500.000, Dismantling @ 1x11.000.000, Electrical Wiring @ 1x21.000.000, Test Commisioning @ 1x57.215.000, Preliminary &amp; Project Management @ 1x15.000.000</t>
  </si>
  <si>
    <t>QT25162587</t>
  </si>
  <si>
    <t>0375/TUP-INV/XII/2025</t>
  </si>
  <si>
    <t>Refill Fire Extinguisher Co2 3,2 Kg @ 21x280.000, Refill Fire Powder Co2 3,5 Kg @ 11x384.300, Refill Fire Extinguisher Co2 2,3 Kg @ 3x200.000, Refill Fire Powder Co2 2 Kg @ 3x219.600</t>
  </si>
  <si>
    <t>PO25168036</t>
  </si>
  <si>
    <t>Parsaoran Global Datatrans ( ION Network )</t>
  </si>
  <si>
    <t>0376/TUP-INV/XII/2025</t>
  </si>
  <si>
    <t>Termin Ke-1 Precision Aircon Climaveneta SAU/O45M Downflow @ 10x185.000.000</t>
  </si>
  <si>
    <t>HSP/547/IX/2025</t>
  </si>
  <si>
    <t>0377/TUP-INV/XII/2025</t>
  </si>
  <si>
    <t>0387/TUP-INV/XII/2025</t>
  </si>
  <si>
    <t>Material Kabel Grounding Y/G NYA 1x16 mm2 (Include skun dan vinyl) @ 30x75.000, Instalasi Kabel Grounding Y/G NYA 1x16 mm2 (Include skun dan vinyl) @30x6.000</t>
  </si>
  <si>
    <t>0004-C70PO-CMM-PWR20-0925</t>
  </si>
  <si>
    <t>Cahaya Mutiara Mandiri ( Pettarani )</t>
  </si>
  <si>
    <t>0378/TUP-INV/XII/2025</t>
  </si>
  <si>
    <t>DP 30% Penambahan Perkuatan paltform sudah termasuk material UNP 80 sudah termasuk perkuatan bagian bawah platform (ada 3 penopang dengan support UNP penguatnya) @ 1x17.500.000, Jasa Pemasangan sudah termasuk kebutuhan aksesoris pemasangan, las dan cat sudah termasuk akomodasi, transport dan meals @ 1x20.000.000</t>
  </si>
  <si>
    <t>0039-C70PO-CMM-PWR4-1225</t>
  </si>
  <si>
    <t>0379/TUP-INV/XII/2025</t>
  </si>
  <si>
    <t>0380/TUP-INV/XII/2025</t>
  </si>
  <si>
    <t>0381/TUP-INV/XII/2025</t>
  </si>
  <si>
    <t>Pelunasan 70% Material PAC @ 1x2.527.611.000, Jasa PAC @ 1x177.515.000</t>
  </si>
  <si>
    <t>0068R2-C70PO-CMM-PWR20-0325</t>
  </si>
  <si>
    <t>Eaton Industries ( Edge 2 Phase 3 )</t>
  </si>
  <si>
    <t>0382/TUP-INV/XII/2025</t>
  </si>
  <si>
    <t>Installation of UPS @ 8x75.000.000, Installation of Litium rack &amp; battery module @ 8x60.000.000, Positioning @ 8x40.000.000, Installation of UPS @ 4x50.000.000, Installation of Litium rack &amp; battery module @ 4x60.000.000</t>
  </si>
  <si>
    <t>0384/TUP-INV/XII/2025</t>
  </si>
  <si>
    <t>0385/TUP-INV/XII/2025</t>
  </si>
  <si>
    <t>0386/TUP-INV/XII/2025</t>
  </si>
  <si>
    <t>DC Cabling @ 8x674.000.000, Sync and comm cable @ 8x45.000.000, DC Cable Ladder UPS to Battery Rack @ 8x55.000.000, Gland Plate @ 8x20.000.000, Plugs for AUX Battery and Grounding Cable @ 8x10.000.000, DC Cabling @ 4x674.000.000, Sync and comm cable @ 4x45.000.000, Gland Plate @ 4x20.000.000, DC Cable Ladder UPS to Battery Rack @ 4x55.000.000, Plugs for AUX Battery and Grounding Cable @ 4x10.000.000</t>
  </si>
  <si>
    <t>Termin Ke 10 Preventive Maintenance HVAC 2025 Periode Oktober'25 @ 1x729.000.000</t>
  </si>
  <si>
    <t>Pelunasan Termin Ke-3 50% BMCC @ 1x171.966.700, Jasa Pemasangan BMCC @ 1x1.500.000, Diskon @ 1x13.466.700</t>
  </si>
  <si>
    <t>Termin Ke-11 Preventive Maintenance HVAC 2025 Periode November'25 @ 1x729.000.000</t>
  </si>
  <si>
    <t>Pelunasan Termin Ke-3 25% PAC Climaveneta DAU 050 @ 1x250.000.000</t>
  </si>
  <si>
    <t>PO-JST-0923-00013</t>
  </si>
  <si>
    <t>Pelunasan Termin Ke-4 10% SCU 200M-S @ 4x373.972.600, SCO 130M @ 2x156.676.801, Installation @ 6x24.427.761</t>
  </si>
  <si>
    <t>Lunas 01-Des-25 ( Maybank )</t>
  </si>
  <si>
    <t>Lunas 11-Des-25 ( Maybank )</t>
  </si>
  <si>
    <t>Lunas 16-Des-25 ( Maybank )</t>
  </si>
  <si>
    <t>PPh 2% = 1.072.800 + PPN = 5.900.400</t>
  </si>
  <si>
    <t>Lunas 23-Des-25 ( Maybank )</t>
  </si>
  <si>
    <t>Lunas 17-Des-25 ( Maybank )</t>
  </si>
  <si>
    <t>Kurang PPN</t>
  </si>
  <si>
    <t>Lunas 24-Des-25 ( Maybank )</t>
  </si>
  <si>
    <t>PPh = 180.000 x 2% = 3.600</t>
  </si>
  <si>
    <t>PPh = 6.000.000 x 2 = 120.000</t>
  </si>
  <si>
    <t>PPh = 2.880.000 x 2% = 57.600</t>
  </si>
  <si>
    <t>PPh = 5.760.000 x 2% = 115.200</t>
  </si>
  <si>
    <t>Lunas 29-Des-25 ( Maybank )</t>
  </si>
  <si>
    <t>Lunas 05-Jan-26 ( BCA )</t>
  </si>
  <si>
    <t>PPh = 300.000 x 2% = 6.000</t>
  </si>
  <si>
    <t>Lunas 07-Jan-26 ( Maybank )</t>
  </si>
  <si>
    <t>tgl 09-Jan-26 ( Maybank )</t>
  </si>
  <si>
    <t>Tgl 01-Des-25 ( BCA )</t>
  </si>
  <si>
    <t>Lunas 27-Nov-25 ( Mandiri )</t>
  </si>
  <si>
    <t>PPh 2 = 246.000 + Admin = 2.900</t>
  </si>
  <si>
    <t>Lunas 28-Nov-25 ( Mandiri )</t>
  </si>
  <si>
    <t>Lunas 06-Nov-25 ( Maybank )</t>
  </si>
  <si>
    <t>Lunas 15-Aug-25 &amp; 07-Nov-25 ( Maybank )</t>
  </si>
  <si>
    <t>Lunas 27-Nov-25 (  Maybank )</t>
  </si>
  <si>
    <t>Lunas 25-Nov-25 ( Maybank )</t>
  </si>
  <si>
    <t>PPh 2% = 6.584.000</t>
  </si>
  <si>
    <t>PPh 2% = 4.571.600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</si>
</sst>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#,##0;[Red]#,##0"/>
    <numFmt numFmtId="167" formatCode="[$-409]dd\-mmm\-yy;@"/>
    <numFmt numFmtId="168" formatCode="[$SGD]\ 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vertical="center"/>
    </xf>
    <xf numFmtId="3" fontId="0" fillId="2" borderId="0" xfId="0" applyNumberFormat="1" applyFill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64" fontId="2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6" fontId="0" fillId="0" borderId="0" xfId="0" applyNumberFormat="1"/>
    <xf numFmtId="3" fontId="0" fillId="2" borderId="0" xfId="0" applyNumberForma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4" fillId="0" borderId="3" xfId="0" applyFont="1" applyBorder="1" applyAlignment="1">
      <alignment horizontal="left" vertical="center"/>
    </xf>
    <xf numFmtId="15" fontId="4" fillId="0" borderId="3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horizontal="justify" vertical="center"/>
    </xf>
    <xf numFmtId="41" fontId="4" fillId="0" borderId="1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41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3" fontId="5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41" fontId="4" fillId="0" borderId="0" xfId="0" applyNumberFormat="1" applyFont="1" applyAlignment="1">
      <alignment vertical="center"/>
    </xf>
    <xf numFmtId="41" fontId="4" fillId="0" borderId="3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41" fontId="4" fillId="0" borderId="4" xfId="0" applyNumberFormat="1" applyFont="1" applyBorder="1" applyAlignment="1">
      <alignment vertical="center"/>
    </xf>
    <xf numFmtId="41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41" fontId="4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10" fillId="0" borderId="0" xfId="0" applyFont="1" applyAlignment="1">
      <alignment horizontal="center"/>
    </xf>
    <xf numFmtId="3" fontId="10" fillId="0" borderId="0" xfId="0" applyNumberFormat="1" applyFont="1"/>
    <xf numFmtId="41" fontId="10" fillId="0" borderId="0" xfId="0" applyNumberFormat="1" applyFont="1"/>
    <xf numFmtId="3" fontId="10" fillId="0" borderId="0" xfId="0" applyNumberFormat="1" applyFont="1" applyAlignment="1">
      <alignment horizontal="right"/>
    </xf>
    <xf numFmtId="0" fontId="4" fillId="7" borderId="3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15" fontId="4" fillId="7" borderId="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justify" vertical="center"/>
    </xf>
    <xf numFmtId="0" fontId="4" fillId="7" borderId="1" xfId="0" applyFont="1" applyFill="1" applyBorder="1" applyAlignment="1">
      <alignment horizontal="left" vertical="center"/>
    </xf>
    <xf numFmtId="165" fontId="4" fillId="7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left" vertical="center"/>
    </xf>
    <xf numFmtId="165" fontId="4" fillId="7" borderId="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15" fontId="4" fillId="7" borderId="1" xfId="0" applyNumberFormat="1" applyFont="1" applyFill="1" applyBorder="1" applyAlignment="1">
      <alignment horizontal="center" vertical="center"/>
    </xf>
    <xf numFmtId="41" fontId="4" fillId="7" borderId="1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justify" vertical="center"/>
    </xf>
    <xf numFmtId="0" fontId="4" fillId="7" borderId="2" xfId="0" applyFont="1" applyFill="1" applyBorder="1" applyAlignment="1">
      <alignment horizontal="justify" vertical="center"/>
    </xf>
    <xf numFmtId="41" fontId="4" fillId="0" borderId="3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3" xfId="0" applyNumberFormat="1" applyFont="1" applyBorder="1" applyAlignment="1">
      <alignment horizontal="left" vertical="center"/>
    </xf>
    <xf numFmtId="0" fontId="4" fillId="7" borderId="2" xfId="0" applyFont="1" applyFill="1" applyBorder="1" applyAlignment="1">
      <alignment vertical="center" wrapText="1"/>
    </xf>
    <xf numFmtId="41" fontId="4" fillId="7" borderId="3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justify"/>
    </xf>
    <xf numFmtId="3" fontId="0" fillId="0" borderId="1" xfId="0" applyNumberFormat="1" applyBorder="1" applyAlignment="1">
      <alignment horizontal="right" vertical="center"/>
    </xf>
    <xf numFmtId="3" fontId="0" fillId="0" borderId="9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66" fontId="7" fillId="0" borderId="1" xfId="0" applyNumberFormat="1" applyFont="1" applyBorder="1"/>
    <xf numFmtId="3" fontId="7" fillId="0" borderId="1" xfId="0" applyNumberFormat="1" applyFont="1" applyBorder="1"/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3" fontId="0" fillId="0" borderId="1" xfId="0" applyNumberFormat="1" applyBorder="1"/>
    <xf numFmtId="0" fontId="7" fillId="0" borderId="1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/>
    </xf>
    <xf numFmtId="41" fontId="5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1" fontId="4" fillId="7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right" vertical="center"/>
    </xf>
    <xf numFmtId="16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4" fillId="7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168" fontId="0" fillId="0" borderId="1" xfId="0" applyNumberFormat="1" applyBorder="1" applyAlignment="1">
      <alignment vertical="center"/>
    </xf>
    <xf numFmtId="0" fontId="8" fillId="0" borderId="1" xfId="0" applyFont="1" applyBorder="1" applyAlignment="1">
      <alignment vertical="center"/>
    </xf>
    <xf numFmtId="168" fontId="7" fillId="0" borderId="1" xfId="0" applyNumberFormat="1" applyFont="1" applyBorder="1" applyAlignment="1">
      <alignment horizontal="right"/>
    </xf>
    <xf numFmtId="168" fontId="7" fillId="0" borderId="1" xfId="0" applyNumberFormat="1" applyFont="1" applyBorder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5" fontId="4" fillId="0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vertical="center"/>
    </xf>
    <xf numFmtId="41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65" fontId="4" fillId="0" borderId="3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justify" vertical="center"/>
    </xf>
    <xf numFmtId="41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15" fontId="4" fillId="0" borderId="3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vertical="center"/>
    </xf>
    <xf numFmtId="3" fontId="4" fillId="0" borderId="3" xfId="0" applyNumberFormat="1" applyFont="1" applyFill="1" applyBorder="1" applyAlignment="1">
      <alignment horizontal="right" vertical="center"/>
    </xf>
    <xf numFmtId="3" fontId="4" fillId="0" borderId="3" xfId="0" applyNumberFormat="1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vertical="center"/>
    </xf>
    <xf numFmtId="41" fontId="4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14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justify" vertical="center"/>
    </xf>
    <xf numFmtId="41" fontId="4" fillId="0" borderId="3" xfId="0" applyNumberFormat="1" applyFont="1" applyFill="1" applyBorder="1" applyAlignment="1">
      <alignment vertical="center"/>
    </xf>
    <xf numFmtId="167" fontId="4" fillId="0" borderId="1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wrapText="1"/>
    </xf>
    <xf numFmtId="0" fontId="4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3" fontId="4" fillId="7" borderId="4" xfId="0" applyNumberFormat="1" applyFont="1" applyFill="1" applyBorder="1" applyAlignment="1">
      <alignment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3" fontId="11" fillId="0" borderId="0" xfId="0" applyNumberFormat="1" applyFont="1"/>
    <xf numFmtId="41" fontId="11" fillId="0" borderId="0" xfId="0" applyNumberFormat="1" applyFont="1"/>
    <xf numFmtId="3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4" fillId="7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165" fontId="4" fillId="0" borderId="3" xfId="0" applyNumberFormat="1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right" vertical="center"/>
    </xf>
    <xf numFmtId="3" fontId="4" fillId="7" borderId="8" xfId="0" applyNumberFormat="1" applyFont="1" applyFill="1" applyBorder="1" applyAlignment="1">
      <alignment horizontal="right" vertical="center"/>
    </xf>
    <xf numFmtId="3" fontId="4" fillId="7" borderId="4" xfId="0" applyNumberFormat="1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41" fontId="4" fillId="0" borderId="3" xfId="0" applyNumberFormat="1" applyFont="1" applyFill="1" applyBorder="1" applyAlignment="1">
      <alignment horizontal="center" vertical="center"/>
    </xf>
    <xf numFmtId="41" fontId="4" fillId="0" borderId="8" xfId="0" applyNumberFormat="1" applyFont="1" applyFill="1" applyBorder="1" applyAlignment="1">
      <alignment horizontal="center" vertical="center"/>
    </xf>
    <xf numFmtId="41" fontId="4" fillId="0" borderId="4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righ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3" fontId="4" fillId="0" borderId="8" xfId="0" applyNumberFormat="1" applyFont="1" applyFill="1" applyBorder="1" applyAlignment="1">
      <alignment horizontal="right" vertical="center"/>
    </xf>
    <xf numFmtId="165" fontId="4" fillId="0" borderId="3" xfId="0" applyNumberFormat="1" applyFont="1" applyFill="1" applyBorder="1" applyAlignment="1">
      <alignment horizontal="center" vertical="center"/>
    </xf>
    <xf numFmtId="165" fontId="4" fillId="0" borderId="8" xfId="0" applyNumberFormat="1" applyFont="1" applyFill="1" applyBorder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41" fontId="4" fillId="0" borderId="3" xfId="0" applyNumberFormat="1" applyFont="1" applyBorder="1" applyAlignment="1">
      <alignment horizontal="center" vertical="center"/>
    </xf>
    <xf numFmtId="41" fontId="4" fillId="0" borderId="4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right" vertical="center"/>
    </xf>
    <xf numFmtId="41" fontId="4" fillId="0" borderId="8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3" fontId="4" fillId="0" borderId="1" xfId="0" applyNumberFormat="1" applyFont="1" applyFill="1" applyBorder="1" applyAlignment="1">
      <alignment horizontal="left"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48571"/>
  <sheetViews>
    <sheetView tabSelected="1" topLeftCell="A4" zoomScaleNormal="100" workbookViewId="0">
      <pane ySplit="3" topLeftCell="A243" activePane="bottomLeft" state="frozen"/>
      <selection activeCell="A4" sqref="A4"/>
      <selection pane="bottomLeft" activeCell="A249" sqref="A249"/>
    </sheetView>
  </sheetViews>
  <sheetFormatPr defaultRowHeight="14.5" x14ac:dyDescent="0.35"/>
  <cols>
    <col min="1" max="1" width="6.26953125" customWidth="1"/>
    <col min="2" max="2" width="50.54296875" customWidth="1"/>
    <col min="3" max="3" width="23" style="20" customWidth="1"/>
    <col min="4" max="4" width="17.54296875" style="20" customWidth="1"/>
    <col min="5" max="5" width="20.453125" style="20" customWidth="1"/>
    <col min="6" max="6" width="65.81640625" customWidth="1"/>
    <col min="7" max="7" width="34.81640625" customWidth="1"/>
    <col min="8" max="8" width="15.1796875" customWidth="1"/>
    <col min="9" max="9" width="19.81640625" style="16" customWidth="1"/>
    <col min="10" max="10" width="16.7265625" style="16" customWidth="1"/>
    <col min="11" max="11" width="15.7265625" style="16" customWidth="1"/>
    <col min="12" max="12" width="17.7265625" customWidth="1"/>
    <col min="13" max="13" width="39.453125" style="20" customWidth="1"/>
    <col min="14" max="14" width="22.1796875" style="27" customWidth="1"/>
    <col min="15" max="15" width="17.81640625" customWidth="1"/>
    <col min="16" max="16" width="42.453125" style="154" customWidth="1"/>
  </cols>
  <sheetData>
    <row r="1" spans="1:17" s="4" customFormat="1" x14ac:dyDescent="0.35">
      <c r="A1" s="2" t="s">
        <v>0</v>
      </c>
      <c r="B1" s="2"/>
      <c r="C1" s="1"/>
      <c r="D1" s="3"/>
      <c r="E1" s="3"/>
      <c r="H1" s="6"/>
      <c r="I1" s="18"/>
      <c r="J1" s="18"/>
      <c r="K1" s="18"/>
      <c r="L1" s="5"/>
      <c r="M1" s="1"/>
      <c r="N1" s="26"/>
      <c r="O1" s="5"/>
      <c r="P1" s="2"/>
    </row>
    <row r="2" spans="1:17" s="4" customFormat="1" x14ac:dyDescent="0.35">
      <c r="A2" s="1"/>
      <c r="B2" s="7"/>
      <c r="C2" s="1" t="s">
        <v>1</v>
      </c>
      <c r="D2" s="3"/>
      <c r="E2" s="3"/>
      <c r="G2" s="8"/>
      <c r="H2" s="6"/>
      <c r="I2" s="18" t="s">
        <v>2</v>
      </c>
      <c r="J2" s="18"/>
      <c r="K2" s="18"/>
      <c r="L2" s="5"/>
      <c r="M2" s="1"/>
      <c r="N2" s="26"/>
      <c r="O2" s="5"/>
      <c r="P2" s="2"/>
    </row>
    <row r="3" spans="1:17" s="4" customFormat="1" x14ac:dyDescent="0.35">
      <c r="A3" s="1"/>
      <c r="B3" s="9"/>
      <c r="C3" s="1" t="s">
        <v>12</v>
      </c>
      <c r="D3" s="3"/>
      <c r="E3" s="3"/>
      <c r="G3" s="10"/>
      <c r="H3" s="6"/>
      <c r="I3" s="18" t="s">
        <v>3</v>
      </c>
      <c r="J3" s="18"/>
      <c r="K3" s="18"/>
      <c r="L3" s="5"/>
      <c r="M3" s="1"/>
      <c r="N3" s="26"/>
      <c r="O3" s="5"/>
      <c r="P3" s="2"/>
    </row>
    <row r="4" spans="1:17" s="4" customFormat="1" x14ac:dyDescent="0.35">
      <c r="A4" s="1"/>
      <c r="B4" s="11"/>
      <c r="C4" s="1" t="s">
        <v>4</v>
      </c>
      <c r="D4" s="3"/>
      <c r="E4" s="3"/>
      <c r="G4" s="12"/>
      <c r="H4" s="6"/>
      <c r="I4" s="18" t="s">
        <v>5</v>
      </c>
      <c r="J4" s="18"/>
      <c r="K4" s="18"/>
      <c r="L4" s="5"/>
      <c r="M4" s="1"/>
      <c r="N4" s="26"/>
      <c r="O4" s="5"/>
      <c r="P4" s="2"/>
    </row>
    <row r="5" spans="1:17" s="4" customFormat="1" x14ac:dyDescent="0.35">
      <c r="A5" s="1"/>
      <c r="B5" s="2"/>
      <c r="C5" s="1"/>
      <c r="D5" s="3"/>
      <c r="E5" s="3"/>
      <c r="H5" s="6"/>
      <c r="I5" s="18"/>
      <c r="J5" s="18"/>
      <c r="K5" s="18"/>
      <c r="L5" s="5"/>
      <c r="M5" s="1"/>
      <c r="N5" s="26"/>
      <c r="O5" s="5"/>
      <c r="P5" s="2"/>
    </row>
    <row r="6" spans="1:17" s="17" customFormat="1" ht="15.75" customHeight="1" x14ac:dyDescent="0.35">
      <c r="A6" s="13" t="s">
        <v>6</v>
      </c>
      <c r="B6" s="13" t="s">
        <v>13</v>
      </c>
      <c r="C6" s="13" t="s">
        <v>7</v>
      </c>
      <c r="D6" s="14" t="s">
        <v>8</v>
      </c>
      <c r="E6" s="14" t="s">
        <v>22</v>
      </c>
      <c r="F6" s="13" t="s">
        <v>14</v>
      </c>
      <c r="G6" s="13" t="s">
        <v>18</v>
      </c>
      <c r="H6" s="14" t="s">
        <v>15</v>
      </c>
      <c r="I6" s="19" t="s">
        <v>10</v>
      </c>
      <c r="J6" s="19" t="s">
        <v>19</v>
      </c>
      <c r="K6" s="19" t="s">
        <v>20</v>
      </c>
      <c r="L6" s="15" t="s">
        <v>21</v>
      </c>
      <c r="M6" s="13" t="s">
        <v>16</v>
      </c>
      <c r="N6" s="19" t="s">
        <v>17</v>
      </c>
      <c r="O6" s="15" t="s">
        <v>11</v>
      </c>
      <c r="P6" s="147" t="s">
        <v>9</v>
      </c>
    </row>
    <row r="7" spans="1:17" s="40" customFormat="1" ht="15.75" customHeight="1" x14ac:dyDescent="0.35">
      <c r="A7" s="30">
        <v>1</v>
      </c>
      <c r="B7" s="45" t="s">
        <v>44</v>
      </c>
      <c r="C7" s="30" t="s">
        <v>46</v>
      </c>
      <c r="D7" s="36">
        <v>45659</v>
      </c>
      <c r="E7" s="36">
        <v>45663</v>
      </c>
      <c r="F7" s="34" t="s">
        <v>47</v>
      </c>
      <c r="G7" s="41" t="s">
        <v>45</v>
      </c>
      <c r="H7" s="29">
        <v>45280</v>
      </c>
      <c r="I7" s="42">
        <v>742590000</v>
      </c>
      <c r="J7" s="37">
        <v>55750000</v>
      </c>
      <c r="K7" s="39">
        <f>J7*11%</f>
        <v>6132500</v>
      </c>
      <c r="L7" s="107">
        <f>J7+K7</f>
        <v>61882500</v>
      </c>
      <c r="M7" s="30" t="s">
        <v>205</v>
      </c>
      <c r="N7" s="39">
        <v>60767500</v>
      </c>
      <c r="O7" s="106">
        <f>L7-N7</f>
        <v>1115000</v>
      </c>
      <c r="P7" s="35" t="s">
        <v>206</v>
      </c>
    </row>
    <row r="8" spans="1:17" s="17" customFormat="1" ht="15" customHeight="1" x14ac:dyDescent="0.35">
      <c r="A8" s="30">
        <v>2</v>
      </c>
      <c r="B8" s="35" t="s">
        <v>59</v>
      </c>
      <c r="C8" s="30" t="s">
        <v>48</v>
      </c>
      <c r="D8" s="33">
        <v>45665</v>
      </c>
      <c r="E8" s="29">
        <v>45670</v>
      </c>
      <c r="F8" s="34" t="s">
        <v>60</v>
      </c>
      <c r="G8" s="41" t="s">
        <v>62</v>
      </c>
      <c r="H8" s="29">
        <v>45659</v>
      </c>
      <c r="I8" s="42">
        <v>98458509</v>
      </c>
      <c r="J8" s="42">
        <v>26610408</v>
      </c>
      <c r="K8" s="39">
        <f>J8*11%</f>
        <v>2927144.88</v>
      </c>
      <c r="L8" s="106">
        <f>J8+K8</f>
        <v>29537552.879999999</v>
      </c>
      <c r="M8" s="267" t="s">
        <v>135</v>
      </c>
      <c r="N8" s="261">
        <v>67341559</v>
      </c>
      <c r="O8" s="263">
        <f>L8+L9+L10+L11+L12+L13-N8</f>
        <v>479005.87999999523</v>
      </c>
      <c r="P8" s="35" t="s">
        <v>129</v>
      </c>
      <c r="Q8" s="109"/>
    </row>
    <row r="9" spans="1:17" s="17" customFormat="1" x14ac:dyDescent="0.35">
      <c r="A9" s="32">
        <v>3</v>
      </c>
      <c r="B9" s="35" t="s">
        <v>72</v>
      </c>
      <c r="C9" s="30" t="s">
        <v>49</v>
      </c>
      <c r="D9" s="33">
        <v>45665</v>
      </c>
      <c r="E9" s="29">
        <v>45670</v>
      </c>
      <c r="F9" s="34" t="s">
        <v>68</v>
      </c>
      <c r="G9" s="41" t="s">
        <v>61</v>
      </c>
      <c r="H9" s="29">
        <v>45659</v>
      </c>
      <c r="I9" s="38">
        <v>27927600</v>
      </c>
      <c r="J9" s="38">
        <v>7548000</v>
      </c>
      <c r="K9" s="39">
        <f t="shared" ref="K9:K40" si="0">J9*11%</f>
        <v>830280</v>
      </c>
      <c r="L9" s="106">
        <f t="shared" ref="L9:L40" si="1">J9+K9</f>
        <v>8378280</v>
      </c>
      <c r="M9" s="268"/>
      <c r="N9" s="265"/>
      <c r="O9" s="266"/>
      <c r="P9" s="41" t="s">
        <v>130</v>
      </c>
    </row>
    <row r="10" spans="1:17" s="17" customFormat="1" x14ac:dyDescent="0.35">
      <c r="A10" s="30">
        <v>4</v>
      </c>
      <c r="B10" s="35" t="s">
        <v>73</v>
      </c>
      <c r="C10" s="30" t="s">
        <v>50</v>
      </c>
      <c r="D10" s="33">
        <v>45665</v>
      </c>
      <c r="E10" s="29">
        <v>45670</v>
      </c>
      <c r="F10" s="34" t="s">
        <v>67</v>
      </c>
      <c r="G10" s="41" t="s">
        <v>63</v>
      </c>
      <c r="H10" s="29">
        <v>45659</v>
      </c>
      <c r="I10" s="42">
        <v>18653550</v>
      </c>
      <c r="J10" s="38">
        <v>5041500</v>
      </c>
      <c r="K10" s="39">
        <f t="shared" si="0"/>
        <v>554565</v>
      </c>
      <c r="L10" s="106">
        <f t="shared" si="1"/>
        <v>5596065</v>
      </c>
      <c r="M10" s="268"/>
      <c r="N10" s="265"/>
      <c r="O10" s="266"/>
      <c r="P10" s="41" t="s">
        <v>131</v>
      </c>
    </row>
    <row r="11" spans="1:17" s="17" customFormat="1" x14ac:dyDescent="0.35">
      <c r="A11" s="32">
        <v>5</v>
      </c>
      <c r="B11" s="35" t="s">
        <v>74</v>
      </c>
      <c r="C11" s="30" t="s">
        <v>51</v>
      </c>
      <c r="D11" s="33">
        <v>45665</v>
      </c>
      <c r="E11" s="29">
        <v>45670</v>
      </c>
      <c r="F11" s="34" t="s">
        <v>69</v>
      </c>
      <c r="G11" s="41" t="s">
        <v>64</v>
      </c>
      <c r="H11" s="29">
        <v>45659</v>
      </c>
      <c r="I11" s="42">
        <v>18439875</v>
      </c>
      <c r="J11" s="42">
        <v>4983750</v>
      </c>
      <c r="K11" s="39">
        <f t="shared" si="0"/>
        <v>548212.5</v>
      </c>
      <c r="L11" s="106">
        <f t="shared" si="1"/>
        <v>5531962.5</v>
      </c>
      <c r="M11" s="268"/>
      <c r="N11" s="265"/>
      <c r="O11" s="266"/>
      <c r="P11" s="41" t="s">
        <v>132</v>
      </c>
    </row>
    <row r="12" spans="1:17" s="17" customFormat="1" x14ac:dyDescent="0.35">
      <c r="A12" s="30">
        <v>6</v>
      </c>
      <c r="B12" s="35" t="s">
        <v>75</v>
      </c>
      <c r="C12" s="30" t="s">
        <v>52</v>
      </c>
      <c r="D12" s="33">
        <v>45665</v>
      </c>
      <c r="E12" s="29">
        <v>45670</v>
      </c>
      <c r="F12" s="34" t="s">
        <v>70</v>
      </c>
      <c r="G12" s="41" t="s">
        <v>65</v>
      </c>
      <c r="H12" s="29">
        <v>45659</v>
      </c>
      <c r="I12" s="42">
        <v>24153600</v>
      </c>
      <c r="J12" s="39">
        <v>6528000</v>
      </c>
      <c r="K12" s="39">
        <f t="shared" si="0"/>
        <v>718080</v>
      </c>
      <c r="L12" s="106">
        <f t="shared" si="1"/>
        <v>7246080</v>
      </c>
      <c r="M12" s="268"/>
      <c r="N12" s="265"/>
      <c r="O12" s="266"/>
      <c r="P12" s="110" t="s">
        <v>133</v>
      </c>
    </row>
    <row r="13" spans="1:17" s="17" customFormat="1" x14ac:dyDescent="0.35">
      <c r="A13" s="32">
        <v>7</v>
      </c>
      <c r="B13" s="35" t="s">
        <v>76</v>
      </c>
      <c r="C13" s="30" t="s">
        <v>53</v>
      </c>
      <c r="D13" s="33">
        <v>45665</v>
      </c>
      <c r="E13" s="29">
        <v>45670</v>
      </c>
      <c r="F13" s="34" t="s">
        <v>71</v>
      </c>
      <c r="G13" s="41" t="s">
        <v>66</v>
      </c>
      <c r="H13" s="29">
        <v>45659</v>
      </c>
      <c r="I13" s="42">
        <v>38435415</v>
      </c>
      <c r="J13" s="42">
        <v>10387950</v>
      </c>
      <c r="K13" s="39">
        <f t="shared" si="0"/>
        <v>1142674.5</v>
      </c>
      <c r="L13" s="106">
        <f t="shared" si="1"/>
        <v>11530624.5</v>
      </c>
      <c r="M13" s="269"/>
      <c r="N13" s="262"/>
      <c r="O13" s="264"/>
      <c r="P13" s="148" t="s">
        <v>134</v>
      </c>
    </row>
    <row r="14" spans="1:17" s="17" customFormat="1" ht="60" x14ac:dyDescent="0.35">
      <c r="A14" s="30">
        <v>8</v>
      </c>
      <c r="B14" s="45" t="s">
        <v>77</v>
      </c>
      <c r="C14" s="108" t="s">
        <v>54</v>
      </c>
      <c r="D14" s="33">
        <v>45665</v>
      </c>
      <c r="E14" s="29">
        <v>45670</v>
      </c>
      <c r="F14" s="34" t="s">
        <v>80</v>
      </c>
      <c r="G14" s="41">
        <v>4515653607</v>
      </c>
      <c r="H14" s="29">
        <v>45572</v>
      </c>
      <c r="I14" s="42">
        <v>2226741687</v>
      </c>
      <c r="J14" s="42">
        <v>767148795</v>
      </c>
      <c r="K14" s="39">
        <f t="shared" si="0"/>
        <v>84386367.450000003</v>
      </c>
      <c r="L14" s="106">
        <f t="shared" si="1"/>
        <v>851535162.45000005</v>
      </c>
      <c r="M14" s="270" t="s">
        <v>452</v>
      </c>
      <c r="N14" s="261">
        <v>1724165597</v>
      </c>
      <c r="O14" s="263">
        <f>L14+L15-N14</f>
        <v>12039565.450000048</v>
      </c>
      <c r="P14" s="148" t="s">
        <v>453</v>
      </c>
    </row>
    <row r="15" spans="1:17" s="17" customFormat="1" ht="24" x14ac:dyDescent="0.35">
      <c r="A15" s="32">
        <v>9</v>
      </c>
      <c r="B15" s="45" t="s">
        <v>77</v>
      </c>
      <c r="C15" s="108" t="s">
        <v>55</v>
      </c>
      <c r="D15" s="33">
        <v>45665</v>
      </c>
      <c r="E15" s="29">
        <v>45670</v>
      </c>
      <c r="F15" s="34" t="s">
        <v>81</v>
      </c>
      <c r="G15" s="41">
        <v>4515740192</v>
      </c>
      <c r="H15" s="29">
        <v>45582</v>
      </c>
      <c r="I15" s="42">
        <v>884670000</v>
      </c>
      <c r="J15" s="42">
        <v>797000000</v>
      </c>
      <c r="K15" s="39">
        <f t="shared" si="0"/>
        <v>87670000</v>
      </c>
      <c r="L15" s="106">
        <f t="shared" si="1"/>
        <v>884670000</v>
      </c>
      <c r="M15" s="272"/>
      <c r="N15" s="262"/>
      <c r="O15" s="264"/>
      <c r="P15" s="148" t="s">
        <v>454</v>
      </c>
    </row>
    <row r="16" spans="1:17" s="17" customFormat="1" ht="24" x14ac:dyDescent="0.35">
      <c r="A16" s="30">
        <v>10</v>
      </c>
      <c r="B16" s="34" t="s">
        <v>78</v>
      </c>
      <c r="C16" s="30" t="s">
        <v>56</v>
      </c>
      <c r="D16" s="33">
        <v>45665</v>
      </c>
      <c r="E16" s="29">
        <v>45670</v>
      </c>
      <c r="F16" s="34" t="s">
        <v>82</v>
      </c>
      <c r="G16" s="41" t="s">
        <v>83</v>
      </c>
      <c r="H16" s="29">
        <v>45182</v>
      </c>
      <c r="I16" s="42">
        <v>22200000</v>
      </c>
      <c r="J16" s="42">
        <v>5000000</v>
      </c>
      <c r="K16" s="39">
        <f t="shared" si="0"/>
        <v>550000</v>
      </c>
      <c r="L16" s="106">
        <f t="shared" si="1"/>
        <v>5550000</v>
      </c>
      <c r="M16" s="29" t="s">
        <v>373</v>
      </c>
      <c r="N16" s="42">
        <v>5450000</v>
      </c>
      <c r="O16" s="106">
        <f t="shared" ref="O16:O17" si="2">L16-N16</f>
        <v>100000</v>
      </c>
      <c r="P16" s="148" t="s">
        <v>397</v>
      </c>
    </row>
    <row r="17" spans="1:16" s="17" customFormat="1" ht="24" x14ac:dyDescent="0.35">
      <c r="A17" s="32">
        <v>11</v>
      </c>
      <c r="B17" s="34" t="s">
        <v>78</v>
      </c>
      <c r="C17" s="30" t="s">
        <v>57</v>
      </c>
      <c r="D17" s="33">
        <v>45665</v>
      </c>
      <c r="E17" s="29">
        <v>45670</v>
      </c>
      <c r="F17" s="34" t="s">
        <v>84</v>
      </c>
      <c r="G17" s="41" t="s">
        <v>85</v>
      </c>
      <c r="H17" s="29">
        <v>45442</v>
      </c>
      <c r="I17" s="42">
        <v>47952000</v>
      </c>
      <c r="J17" s="42">
        <v>10800000</v>
      </c>
      <c r="K17" s="39">
        <f t="shared" si="0"/>
        <v>1188000</v>
      </c>
      <c r="L17" s="106">
        <f t="shared" si="1"/>
        <v>11988000</v>
      </c>
      <c r="M17" s="29" t="s">
        <v>373</v>
      </c>
      <c r="N17" s="42">
        <v>11772000</v>
      </c>
      <c r="O17" s="44">
        <f t="shared" si="2"/>
        <v>216000</v>
      </c>
      <c r="P17" s="148" t="s">
        <v>397</v>
      </c>
    </row>
    <row r="18" spans="1:16" s="17" customFormat="1" x14ac:dyDescent="0.35">
      <c r="A18" s="30">
        <v>12</v>
      </c>
      <c r="B18" s="34" t="s">
        <v>79</v>
      </c>
      <c r="C18" s="30" t="s">
        <v>58</v>
      </c>
      <c r="D18" s="33">
        <v>45666</v>
      </c>
      <c r="E18" s="29">
        <v>45670</v>
      </c>
      <c r="F18" s="34" t="s">
        <v>86</v>
      </c>
      <c r="G18" s="41" t="s">
        <v>87</v>
      </c>
      <c r="H18" s="28">
        <v>45665</v>
      </c>
      <c r="I18" s="42">
        <v>7104000</v>
      </c>
      <c r="J18" s="42">
        <v>6400000</v>
      </c>
      <c r="K18" s="39">
        <f t="shared" si="0"/>
        <v>704000</v>
      </c>
      <c r="L18" s="106">
        <f t="shared" si="1"/>
        <v>7104000</v>
      </c>
      <c r="M18" s="29" t="s">
        <v>128</v>
      </c>
      <c r="N18" s="42">
        <v>7104000</v>
      </c>
      <c r="O18" s="44">
        <f t="shared" ref="O18:O40" si="3">L18-N18</f>
        <v>0</v>
      </c>
      <c r="P18" s="148"/>
    </row>
    <row r="19" spans="1:16" s="17" customFormat="1" x14ac:dyDescent="0.35">
      <c r="A19" s="32">
        <v>13</v>
      </c>
      <c r="B19" s="34" t="s">
        <v>88</v>
      </c>
      <c r="C19" s="30" t="s">
        <v>89</v>
      </c>
      <c r="D19" s="33">
        <v>45665</v>
      </c>
      <c r="E19" s="28">
        <v>45672</v>
      </c>
      <c r="F19" s="34" t="s">
        <v>98</v>
      </c>
      <c r="G19" s="35" t="s">
        <v>99</v>
      </c>
      <c r="H19" s="28">
        <v>45660</v>
      </c>
      <c r="I19" s="37">
        <v>1150515000</v>
      </c>
      <c r="J19" s="42">
        <v>310950000</v>
      </c>
      <c r="K19" s="39">
        <f t="shared" si="0"/>
        <v>34204500</v>
      </c>
      <c r="L19" s="106">
        <f t="shared" si="1"/>
        <v>345154500</v>
      </c>
      <c r="M19" s="270" t="s">
        <v>140</v>
      </c>
      <c r="N19" s="261">
        <v>1362035310</v>
      </c>
      <c r="O19" s="263">
        <f>L19+L20+L21+L22-N19</f>
        <v>244380</v>
      </c>
      <c r="P19" s="148" t="s">
        <v>136</v>
      </c>
    </row>
    <row r="20" spans="1:16" s="17" customFormat="1" x14ac:dyDescent="0.35">
      <c r="A20" s="30">
        <v>14</v>
      </c>
      <c r="B20" s="34" t="s">
        <v>100</v>
      </c>
      <c r="C20" s="30" t="s">
        <v>90</v>
      </c>
      <c r="D20" s="33">
        <v>45670</v>
      </c>
      <c r="E20" s="28">
        <v>45672</v>
      </c>
      <c r="F20" s="34" t="s">
        <v>101</v>
      </c>
      <c r="G20" s="35" t="s">
        <v>102</v>
      </c>
      <c r="H20" s="28">
        <v>45660</v>
      </c>
      <c r="I20" s="37">
        <v>2254854000</v>
      </c>
      <c r="J20" s="42">
        <v>609420000</v>
      </c>
      <c r="K20" s="39">
        <f t="shared" si="0"/>
        <v>67036200</v>
      </c>
      <c r="L20" s="106">
        <f t="shared" si="1"/>
        <v>676456200</v>
      </c>
      <c r="M20" s="271"/>
      <c r="N20" s="265"/>
      <c r="O20" s="266"/>
      <c r="P20" s="148" t="s">
        <v>137</v>
      </c>
    </row>
    <row r="21" spans="1:16" s="17" customFormat="1" x14ac:dyDescent="0.35">
      <c r="A21" s="32">
        <v>15</v>
      </c>
      <c r="B21" s="34" t="s">
        <v>103</v>
      </c>
      <c r="C21" s="30" t="s">
        <v>91</v>
      </c>
      <c r="D21" s="33">
        <v>45670</v>
      </c>
      <c r="E21" s="28">
        <v>45672</v>
      </c>
      <c r="F21" s="34" t="s">
        <v>104</v>
      </c>
      <c r="G21" s="35" t="s">
        <v>105</v>
      </c>
      <c r="H21" s="28">
        <v>45660</v>
      </c>
      <c r="I21" s="37">
        <v>569430000</v>
      </c>
      <c r="J21" s="42">
        <v>153900000</v>
      </c>
      <c r="K21" s="39">
        <f t="shared" si="0"/>
        <v>16929000</v>
      </c>
      <c r="L21" s="106">
        <f t="shared" si="1"/>
        <v>170829000</v>
      </c>
      <c r="M21" s="271"/>
      <c r="N21" s="265"/>
      <c r="O21" s="266"/>
      <c r="P21" s="148" t="s">
        <v>138</v>
      </c>
    </row>
    <row r="22" spans="1:16" s="17" customFormat="1" x14ac:dyDescent="0.35">
      <c r="A22" s="30">
        <v>16</v>
      </c>
      <c r="B22" s="34" t="s">
        <v>106</v>
      </c>
      <c r="C22" s="30" t="s">
        <v>92</v>
      </c>
      <c r="D22" s="33">
        <v>45670</v>
      </c>
      <c r="E22" s="28">
        <v>45672</v>
      </c>
      <c r="F22" s="34" t="s">
        <v>116</v>
      </c>
      <c r="G22" s="35" t="s">
        <v>117</v>
      </c>
      <c r="H22" s="28">
        <v>45660</v>
      </c>
      <c r="I22" s="37">
        <v>566133300</v>
      </c>
      <c r="J22" s="42">
        <v>153009000</v>
      </c>
      <c r="K22" s="39">
        <f t="shared" si="0"/>
        <v>16830990</v>
      </c>
      <c r="L22" s="106">
        <f t="shared" si="1"/>
        <v>169839990</v>
      </c>
      <c r="M22" s="272"/>
      <c r="N22" s="262"/>
      <c r="O22" s="264"/>
      <c r="P22" s="148" t="s">
        <v>139</v>
      </c>
    </row>
    <row r="23" spans="1:16" s="17" customFormat="1" x14ac:dyDescent="0.35">
      <c r="A23" s="32">
        <v>17</v>
      </c>
      <c r="B23" s="34" t="s">
        <v>44</v>
      </c>
      <c r="C23" s="30" t="s">
        <v>93</v>
      </c>
      <c r="D23" s="33">
        <v>45671</v>
      </c>
      <c r="E23" s="28">
        <v>45672</v>
      </c>
      <c r="F23" s="34" t="s">
        <v>118</v>
      </c>
      <c r="G23" s="41" t="s">
        <v>45</v>
      </c>
      <c r="H23" s="29">
        <v>45280</v>
      </c>
      <c r="I23" s="42">
        <v>742590000</v>
      </c>
      <c r="J23" s="42">
        <v>55750000</v>
      </c>
      <c r="K23" s="39">
        <f t="shared" si="0"/>
        <v>6132500</v>
      </c>
      <c r="L23" s="106">
        <f t="shared" si="1"/>
        <v>61882500</v>
      </c>
      <c r="M23" s="29" t="s">
        <v>353</v>
      </c>
      <c r="N23" s="42">
        <v>60767500</v>
      </c>
      <c r="O23" s="44">
        <f t="shared" si="3"/>
        <v>1115000</v>
      </c>
      <c r="P23" s="148" t="s">
        <v>206</v>
      </c>
    </row>
    <row r="24" spans="1:16" s="17" customFormat="1" ht="24" x14ac:dyDescent="0.35">
      <c r="A24" s="30">
        <v>18</v>
      </c>
      <c r="B24" s="34" t="s">
        <v>31</v>
      </c>
      <c r="C24" s="30" t="s">
        <v>94</v>
      </c>
      <c r="D24" s="33">
        <v>45671</v>
      </c>
      <c r="E24" s="28">
        <v>45672</v>
      </c>
      <c r="F24" s="43" t="s">
        <v>120</v>
      </c>
      <c r="G24" s="35" t="s">
        <v>119</v>
      </c>
      <c r="H24" s="36">
        <v>45589</v>
      </c>
      <c r="I24" s="37">
        <v>1332000000</v>
      </c>
      <c r="J24" s="42">
        <v>1080000000</v>
      </c>
      <c r="K24" s="39">
        <f t="shared" si="0"/>
        <v>118800000</v>
      </c>
      <c r="L24" s="106">
        <f t="shared" si="1"/>
        <v>1198800000</v>
      </c>
      <c r="M24" s="29" t="s">
        <v>515</v>
      </c>
      <c r="N24" s="42">
        <v>1198800000</v>
      </c>
      <c r="O24" s="44">
        <f t="shared" si="3"/>
        <v>0</v>
      </c>
      <c r="P24" s="148"/>
    </row>
    <row r="25" spans="1:16" s="17" customFormat="1" ht="24" x14ac:dyDescent="0.35">
      <c r="A25" s="32">
        <v>19</v>
      </c>
      <c r="B25" s="34" t="s">
        <v>31</v>
      </c>
      <c r="C25" s="108" t="s">
        <v>95</v>
      </c>
      <c r="D25" s="33">
        <v>45671</v>
      </c>
      <c r="E25" s="28">
        <v>45672</v>
      </c>
      <c r="F25" s="34" t="s">
        <v>121</v>
      </c>
      <c r="G25" s="35" t="s">
        <v>122</v>
      </c>
      <c r="H25" s="28">
        <v>45589</v>
      </c>
      <c r="I25" s="37">
        <v>428059290</v>
      </c>
      <c r="J25" s="42">
        <v>385639000</v>
      </c>
      <c r="K25" s="39">
        <f t="shared" si="0"/>
        <v>42420290</v>
      </c>
      <c r="L25" s="106">
        <f t="shared" si="1"/>
        <v>428059290</v>
      </c>
      <c r="M25" s="29" t="s">
        <v>515</v>
      </c>
      <c r="N25" s="42">
        <v>420346510</v>
      </c>
      <c r="O25" s="44">
        <f t="shared" si="3"/>
        <v>7712780</v>
      </c>
      <c r="P25" s="148" t="s">
        <v>206</v>
      </c>
    </row>
    <row r="26" spans="1:16" s="17" customFormat="1" ht="36" x14ac:dyDescent="0.35">
      <c r="A26" s="30">
        <v>20</v>
      </c>
      <c r="B26" s="34" t="s">
        <v>123</v>
      </c>
      <c r="C26" s="108" t="s">
        <v>96</v>
      </c>
      <c r="D26" s="33">
        <v>45671</v>
      </c>
      <c r="E26" s="28">
        <v>45673</v>
      </c>
      <c r="F26" s="34" t="s">
        <v>124</v>
      </c>
      <c r="G26" s="35" t="s">
        <v>125</v>
      </c>
      <c r="H26" s="28">
        <v>45607</v>
      </c>
      <c r="I26" s="37">
        <v>64380000</v>
      </c>
      <c r="J26" s="42">
        <v>58000000</v>
      </c>
      <c r="K26" s="39">
        <f t="shared" si="0"/>
        <v>6380000</v>
      </c>
      <c r="L26" s="106">
        <f t="shared" si="1"/>
        <v>64380000</v>
      </c>
      <c r="M26" s="29" t="s">
        <v>353</v>
      </c>
      <c r="N26" s="42">
        <v>63365000</v>
      </c>
      <c r="O26" s="44">
        <f t="shared" si="3"/>
        <v>1015000</v>
      </c>
      <c r="P26" s="148" t="s">
        <v>354</v>
      </c>
    </row>
    <row r="27" spans="1:16" s="17" customFormat="1" ht="60" x14ac:dyDescent="0.35">
      <c r="A27" s="32">
        <v>21</v>
      </c>
      <c r="B27" s="34" t="s">
        <v>126</v>
      </c>
      <c r="C27" s="108" t="s">
        <v>97</v>
      </c>
      <c r="D27" s="33">
        <v>45671</v>
      </c>
      <c r="E27" s="28">
        <v>45673</v>
      </c>
      <c r="F27" s="34" t="s">
        <v>127</v>
      </c>
      <c r="G27" s="41">
        <v>4110003260</v>
      </c>
      <c r="H27" s="28">
        <v>45327</v>
      </c>
      <c r="I27" s="42">
        <v>2788098000</v>
      </c>
      <c r="J27" s="42">
        <v>1216300000</v>
      </c>
      <c r="K27" s="39">
        <f t="shared" si="0"/>
        <v>133793000</v>
      </c>
      <c r="L27" s="106">
        <f t="shared" si="1"/>
        <v>1350093000</v>
      </c>
      <c r="M27" s="29" t="s">
        <v>425</v>
      </c>
      <c r="N27" s="42">
        <v>1194984750</v>
      </c>
      <c r="O27" s="44">
        <f t="shared" si="3"/>
        <v>155108250</v>
      </c>
      <c r="P27" s="148" t="s">
        <v>426</v>
      </c>
    </row>
    <row r="28" spans="1:16" s="17" customFormat="1" ht="24" x14ac:dyDescent="0.35">
      <c r="A28" s="30">
        <v>22</v>
      </c>
      <c r="B28" s="34" t="s">
        <v>141</v>
      </c>
      <c r="C28" s="108" t="s">
        <v>107</v>
      </c>
      <c r="D28" s="33">
        <v>45679</v>
      </c>
      <c r="E28" s="28">
        <v>45680</v>
      </c>
      <c r="F28" s="43" t="s">
        <v>143</v>
      </c>
      <c r="G28" s="45" t="s">
        <v>142</v>
      </c>
      <c r="H28" s="36">
        <v>45558</v>
      </c>
      <c r="I28" s="37">
        <v>44400000</v>
      </c>
      <c r="J28" s="37">
        <v>10000000</v>
      </c>
      <c r="K28" s="39">
        <f>J28*11%</f>
        <v>1100000</v>
      </c>
      <c r="L28" s="106">
        <f t="shared" si="1"/>
        <v>11100000</v>
      </c>
      <c r="M28" s="29" t="s">
        <v>352</v>
      </c>
      <c r="N28" s="42">
        <v>10900000</v>
      </c>
      <c r="O28" s="44">
        <f t="shared" si="3"/>
        <v>200000</v>
      </c>
      <c r="P28" s="148" t="s">
        <v>206</v>
      </c>
    </row>
    <row r="29" spans="1:16" s="17" customFormat="1" ht="24" x14ac:dyDescent="0.35">
      <c r="A29" s="32">
        <v>23</v>
      </c>
      <c r="B29" s="34" t="s">
        <v>144</v>
      </c>
      <c r="C29" s="30" t="s">
        <v>108</v>
      </c>
      <c r="D29" s="33">
        <v>45679</v>
      </c>
      <c r="E29" s="28">
        <v>45680</v>
      </c>
      <c r="F29" s="34" t="s">
        <v>147</v>
      </c>
      <c r="G29" s="35" t="s">
        <v>146</v>
      </c>
      <c r="H29" s="28">
        <v>45166</v>
      </c>
      <c r="I29" s="37">
        <v>6284642400</v>
      </c>
      <c r="J29" s="42">
        <v>235910000</v>
      </c>
      <c r="K29" s="39">
        <f t="shared" ref="K29:K32" si="4">J29*11%</f>
        <v>25950100</v>
      </c>
      <c r="L29" s="106">
        <f t="shared" si="1"/>
        <v>261860100</v>
      </c>
      <c r="M29" s="29" t="s">
        <v>355</v>
      </c>
      <c r="N29" s="42">
        <v>261860100</v>
      </c>
      <c r="O29" s="44">
        <f t="shared" si="3"/>
        <v>0</v>
      </c>
      <c r="P29" s="148"/>
    </row>
    <row r="30" spans="1:16" s="17" customFormat="1" x14ac:dyDescent="0.35">
      <c r="A30" s="30">
        <v>24</v>
      </c>
      <c r="B30" s="34" t="s">
        <v>145</v>
      </c>
      <c r="C30" s="30" t="s">
        <v>109</v>
      </c>
      <c r="D30" s="33">
        <v>45679</v>
      </c>
      <c r="E30" s="28">
        <v>45680</v>
      </c>
      <c r="F30" s="34" t="s">
        <v>148</v>
      </c>
      <c r="G30" s="35" t="s">
        <v>149</v>
      </c>
      <c r="H30" s="28">
        <v>45574</v>
      </c>
      <c r="I30" s="37">
        <v>7215000</v>
      </c>
      <c r="J30" s="42">
        <v>6500000</v>
      </c>
      <c r="K30" s="39">
        <f t="shared" si="4"/>
        <v>715000</v>
      </c>
      <c r="L30" s="106">
        <f t="shared" si="1"/>
        <v>7215000</v>
      </c>
      <c r="M30" s="29" t="s">
        <v>355</v>
      </c>
      <c r="N30" s="42">
        <v>7215000</v>
      </c>
      <c r="O30" s="44">
        <f t="shared" si="3"/>
        <v>0</v>
      </c>
      <c r="P30" s="148"/>
    </row>
    <row r="31" spans="1:16" s="17" customFormat="1" x14ac:dyDescent="0.35">
      <c r="A31" s="32">
        <v>25</v>
      </c>
      <c r="B31" s="34" t="s">
        <v>150</v>
      </c>
      <c r="C31" s="108" t="s">
        <v>110</v>
      </c>
      <c r="D31" s="33">
        <v>45679</v>
      </c>
      <c r="E31" s="28">
        <v>45680</v>
      </c>
      <c r="F31" s="34" t="s">
        <v>151</v>
      </c>
      <c r="G31" s="35" t="s">
        <v>152</v>
      </c>
      <c r="H31" s="28">
        <v>45589</v>
      </c>
      <c r="I31" s="37">
        <v>21933600</v>
      </c>
      <c r="J31" s="42">
        <v>3293333</v>
      </c>
      <c r="K31" s="39">
        <f t="shared" si="4"/>
        <v>362266.63</v>
      </c>
      <c r="L31" s="106">
        <f t="shared" si="1"/>
        <v>3655599.63</v>
      </c>
      <c r="M31" s="29" t="s">
        <v>357</v>
      </c>
      <c r="N31" s="42">
        <v>3589734</v>
      </c>
      <c r="O31" s="44">
        <f t="shared" si="3"/>
        <v>65865.629999999888</v>
      </c>
      <c r="P31" s="148" t="s">
        <v>206</v>
      </c>
    </row>
    <row r="32" spans="1:16" s="17" customFormat="1" x14ac:dyDescent="0.35">
      <c r="A32" s="30">
        <v>26</v>
      </c>
      <c r="B32" s="34" t="s">
        <v>153</v>
      </c>
      <c r="C32" s="108" t="s">
        <v>111</v>
      </c>
      <c r="D32" s="33">
        <v>45679</v>
      </c>
      <c r="E32" s="28">
        <v>45680</v>
      </c>
      <c r="F32" s="34" t="s">
        <v>154</v>
      </c>
      <c r="G32" s="35" t="s">
        <v>155</v>
      </c>
      <c r="H32" s="28">
        <v>45638</v>
      </c>
      <c r="I32" s="37">
        <v>97680000</v>
      </c>
      <c r="J32" s="42">
        <v>22000000</v>
      </c>
      <c r="K32" s="39">
        <f t="shared" si="4"/>
        <v>2420000</v>
      </c>
      <c r="L32" s="106">
        <f t="shared" si="1"/>
        <v>24420000</v>
      </c>
      <c r="M32" s="29" t="s">
        <v>466</v>
      </c>
      <c r="N32" s="42">
        <v>23980000</v>
      </c>
      <c r="O32" s="44">
        <f t="shared" si="3"/>
        <v>440000</v>
      </c>
      <c r="P32" s="148" t="s">
        <v>206</v>
      </c>
    </row>
    <row r="33" spans="1:16" s="17" customFormat="1" ht="48" x14ac:dyDescent="0.35">
      <c r="A33" s="32">
        <v>27</v>
      </c>
      <c r="B33" s="31" t="s">
        <v>160</v>
      </c>
      <c r="C33" s="142" t="s">
        <v>112</v>
      </c>
      <c r="D33" s="28">
        <v>45680</v>
      </c>
      <c r="E33" s="28">
        <v>45681</v>
      </c>
      <c r="F33" s="34" t="s">
        <v>161</v>
      </c>
      <c r="G33" s="35">
        <v>4515889919</v>
      </c>
      <c r="H33" s="28">
        <v>45639</v>
      </c>
      <c r="I33" s="37">
        <v>721500000</v>
      </c>
      <c r="J33" s="42">
        <v>650000000</v>
      </c>
      <c r="K33" s="42">
        <f t="shared" si="0"/>
        <v>71500000</v>
      </c>
      <c r="L33" s="42">
        <f t="shared" si="1"/>
        <v>721500000</v>
      </c>
      <c r="M33" s="270" t="s">
        <v>630</v>
      </c>
      <c r="N33" s="42">
        <v>711500000</v>
      </c>
      <c r="O33" s="44">
        <f t="shared" si="3"/>
        <v>10000000</v>
      </c>
      <c r="P33" s="148" t="s">
        <v>631</v>
      </c>
    </row>
    <row r="34" spans="1:16" s="17" customFormat="1" ht="24" x14ac:dyDescent="0.35">
      <c r="A34" s="30">
        <v>28</v>
      </c>
      <c r="B34" s="31" t="s">
        <v>162</v>
      </c>
      <c r="C34" s="142" t="s">
        <v>113</v>
      </c>
      <c r="D34" s="28">
        <v>45680</v>
      </c>
      <c r="E34" s="28">
        <v>45681</v>
      </c>
      <c r="F34" s="34" t="s">
        <v>163</v>
      </c>
      <c r="G34" s="41">
        <v>4515525085</v>
      </c>
      <c r="H34" s="28">
        <v>45516</v>
      </c>
      <c r="I34" s="42">
        <v>1387638741</v>
      </c>
      <c r="J34" s="42">
        <v>1250124992</v>
      </c>
      <c r="K34" s="39">
        <f t="shared" si="0"/>
        <v>137513749.12</v>
      </c>
      <c r="L34" s="106">
        <f t="shared" si="1"/>
        <v>1387638741.1199999</v>
      </c>
      <c r="M34" s="271"/>
      <c r="N34" s="42">
        <v>1362636241</v>
      </c>
      <c r="O34" s="44">
        <f t="shared" si="3"/>
        <v>25002500.119999886</v>
      </c>
      <c r="P34" s="148" t="s">
        <v>206</v>
      </c>
    </row>
    <row r="35" spans="1:16" s="17" customFormat="1" x14ac:dyDescent="0.35">
      <c r="A35" s="32">
        <v>29</v>
      </c>
      <c r="B35" s="31" t="s">
        <v>162</v>
      </c>
      <c r="C35" s="32" t="s">
        <v>114</v>
      </c>
      <c r="D35" s="28">
        <v>45680</v>
      </c>
      <c r="E35" s="28">
        <v>45681</v>
      </c>
      <c r="F35" s="34" t="s">
        <v>164</v>
      </c>
      <c r="G35" s="41">
        <v>4515590634</v>
      </c>
      <c r="H35" s="29">
        <v>45516</v>
      </c>
      <c r="I35" s="42">
        <v>9215287706</v>
      </c>
      <c r="J35" s="42">
        <v>1795000000</v>
      </c>
      <c r="K35" s="39">
        <f t="shared" si="0"/>
        <v>197450000</v>
      </c>
      <c r="L35" s="106">
        <f t="shared" si="1"/>
        <v>1992450000</v>
      </c>
      <c r="M35" s="272"/>
      <c r="N35" s="42">
        <v>1992450000</v>
      </c>
      <c r="O35" s="44">
        <f t="shared" si="3"/>
        <v>0</v>
      </c>
      <c r="P35" s="148"/>
    </row>
    <row r="36" spans="1:16" s="17" customFormat="1" x14ac:dyDescent="0.35">
      <c r="A36" s="30">
        <v>30</v>
      </c>
      <c r="B36" s="31" t="s">
        <v>165</v>
      </c>
      <c r="C36" s="32" t="s">
        <v>115</v>
      </c>
      <c r="D36" s="28">
        <v>45680</v>
      </c>
      <c r="E36" s="28">
        <v>45681</v>
      </c>
      <c r="F36" s="34" t="s">
        <v>166</v>
      </c>
      <c r="G36" s="41">
        <v>4515736248</v>
      </c>
      <c r="H36" s="29">
        <v>45568</v>
      </c>
      <c r="I36" s="42">
        <v>99900000</v>
      </c>
      <c r="J36" s="42">
        <v>90000000</v>
      </c>
      <c r="K36" s="39">
        <f t="shared" si="0"/>
        <v>9900000</v>
      </c>
      <c r="L36" s="106">
        <f t="shared" si="1"/>
        <v>99900000</v>
      </c>
      <c r="M36" s="270" t="s">
        <v>696</v>
      </c>
      <c r="N36" s="42">
        <v>99900000</v>
      </c>
      <c r="O36" s="44">
        <f t="shared" si="3"/>
        <v>0</v>
      </c>
      <c r="P36" s="148"/>
    </row>
    <row r="37" spans="1:16" s="17" customFormat="1" x14ac:dyDescent="0.35">
      <c r="A37" s="32">
        <v>31</v>
      </c>
      <c r="B37" s="31" t="s">
        <v>168</v>
      </c>
      <c r="C37" s="32" t="s">
        <v>156</v>
      </c>
      <c r="D37" s="28">
        <v>45680</v>
      </c>
      <c r="E37" s="28">
        <v>45681</v>
      </c>
      <c r="F37" s="34" t="s">
        <v>167</v>
      </c>
      <c r="G37" s="41">
        <v>4515736430</v>
      </c>
      <c r="H37" s="29">
        <v>45568</v>
      </c>
      <c r="I37" s="42">
        <v>266400000</v>
      </c>
      <c r="J37" s="42">
        <v>240000000</v>
      </c>
      <c r="K37" s="39">
        <f t="shared" si="0"/>
        <v>26400000</v>
      </c>
      <c r="L37" s="106">
        <f t="shared" si="1"/>
        <v>266400000</v>
      </c>
      <c r="M37" s="271"/>
      <c r="N37" s="42">
        <v>266400000</v>
      </c>
      <c r="O37" s="44">
        <f t="shared" si="3"/>
        <v>0</v>
      </c>
      <c r="P37" s="148"/>
    </row>
    <row r="38" spans="1:16" s="17" customFormat="1" ht="24" x14ac:dyDescent="0.35">
      <c r="A38" s="30">
        <v>32</v>
      </c>
      <c r="B38" s="31" t="s">
        <v>169</v>
      </c>
      <c r="C38" s="142" t="s">
        <v>157</v>
      </c>
      <c r="D38" s="28">
        <v>45680</v>
      </c>
      <c r="E38" s="28">
        <v>45681</v>
      </c>
      <c r="F38" s="34" t="s">
        <v>170</v>
      </c>
      <c r="G38" s="41">
        <v>4515696253</v>
      </c>
      <c r="H38" s="29">
        <v>45568</v>
      </c>
      <c r="I38" s="42">
        <v>582750000</v>
      </c>
      <c r="J38" s="42">
        <v>525000000</v>
      </c>
      <c r="K38" s="39">
        <f t="shared" si="0"/>
        <v>57750000</v>
      </c>
      <c r="L38" s="106">
        <f t="shared" si="1"/>
        <v>582750000</v>
      </c>
      <c r="M38" s="271"/>
      <c r="N38" s="42">
        <v>572250000</v>
      </c>
      <c r="O38" s="44">
        <f t="shared" si="3"/>
        <v>10500000</v>
      </c>
      <c r="P38" s="148" t="s">
        <v>691</v>
      </c>
    </row>
    <row r="39" spans="1:16" s="17" customFormat="1" x14ac:dyDescent="0.35">
      <c r="A39" s="32">
        <v>33</v>
      </c>
      <c r="B39" s="31" t="s">
        <v>169</v>
      </c>
      <c r="C39" s="32" t="s">
        <v>158</v>
      </c>
      <c r="D39" s="28">
        <v>45680</v>
      </c>
      <c r="E39" s="28">
        <v>45681</v>
      </c>
      <c r="F39" s="34" t="s">
        <v>171</v>
      </c>
      <c r="G39" s="41">
        <v>4515627308</v>
      </c>
      <c r="H39" s="29">
        <v>45568</v>
      </c>
      <c r="I39" s="42">
        <v>166500000</v>
      </c>
      <c r="J39" s="42">
        <v>150000000</v>
      </c>
      <c r="K39" s="39">
        <f t="shared" si="0"/>
        <v>16500000</v>
      </c>
      <c r="L39" s="106">
        <f t="shared" si="1"/>
        <v>166500000</v>
      </c>
      <c r="M39" s="271"/>
      <c r="N39" s="42">
        <v>166500000</v>
      </c>
      <c r="O39" s="44">
        <f t="shared" si="3"/>
        <v>0</v>
      </c>
      <c r="P39" s="148"/>
    </row>
    <row r="40" spans="1:16" s="17" customFormat="1" x14ac:dyDescent="0.35">
      <c r="A40" s="30">
        <v>34</v>
      </c>
      <c r="B40" s="31" t="s">
        <v>172</v>
      </c>
      <c r="C40" s="142" t="s">
        <v>159</v>
      </c>
      <c r="D40" s="28">
        <v>45680</v>
      </c>
      <c r="E40" s="28">
        <v>45681</v>
      </c>
      <c r="F40" s="34" t="s">
        <v>173</v>
      </c>
      <c r="G40" s="41">
        <v>4515795931</v>
      </c>
      <c r="H40" s="28">
        <v>45596</v>
      </c>
      <c r="I40" s="42">
        <v>965700000</v>
      </c>
      <c r="J40" s="42">
        <v>135000000</v>
      </c>
      <c r="K40" s="39">
        <f t="shared" si="0"/>
        <v>14850000</v>
      </c>
      <c r="L40" s="106">
        <f t="shared" si="1"/>
        <v>149850000</v>
      </c>
      <c r="M40" s="272"/>
      <c r="N40" s="42">
        <v>147150000</v>
      </c>
      <c r="O40" s="44">
        <f t="shared" si="3"/>
        <v>2700000</v>
      </c>
      <c r="P40" s="148" t="s">
        <v>692</v>
      </c>
    </row>
    <row r="41" spans="1:16" s="50" customFormat="1" ht="30.75" customHeight="1" x14ac:dyDescent="0.35">
      <c r="A41" s="273" t="s">
        <v>32</v>
      </c>
      <c r="B41" s="273"/>
      <c r="C41" s="273"/>
      <c r="D41" s="273"/>
      <c r="E41" s="273"/>
      <c r="F41" s="273"/>
      <c r="G41" s="273"/>
      <c r="H41" s="273"/>
      <c r="I41" s="47">
        <f>SUM(I7:I40)</f>
        <v>33914933273</v>
      </c>
      <c r="J41" s="47">
        <f>SUM(J7:J40)</f>
        <v>10838994728</v>
      </c>
      <c r="K41" s="47">
        <f>SUM(K7:K40)</f>
        <v>1192289420.0799999</v>
      </c>
      <c r="L41" s="48">
        <f>SUM(L7:L40)</f>
        <v>12031284148.08</v>
      </c>
      <c r="M41" s="46"/>
      <c r="N41" s="47">
        <f>SUM(N7:N40)</f>
        <v>11803230801</v>
      </c>
      <c r="O41" s="49">
        <f>SUM(O7:O40)</f>
        <v>228053347.07999992</v>
      </c>
      <c r="P41" s="149"/>
    </row>
    <row r="42" spans="1:16" s="17" customFormat="1" ht="30" customHeight="1" x14ac:dyDescent="0.35">
      <c r="A42" s="51"/>
      <c r="B42" s="52"/>
      <c r="C42" s="51"/>
      <c r="D42" s="53"/>
      <c r="E42" s="51"/>
      <c r="F42" s="40"/>
      <c r="G42" s="51"/>
      <c r="H42" s="53"/>
      <c r="I42" s="54"/>
      <c r="J42" s="54"/>
      <c r="K42" s="54"/>
      <c r="L42" s="55"/>
      <c r="M42" s="51"/>
      <c r="N42" s="54"/>
      <c r="O42" s="51"/>
      <c r="P42" s="52"/>
    </row>
    <row r="43" spans="1:16" s="17" customFormat="1" ht="60" x14ac:dyDescent="0.35">
      <c r="A43" s="32">
        <v>1</v>
      </c>
      <c r="B43" s="34" t="s">
        <v>123</v>
      </c>
      <c r="C43" s="142" t="s">
        <v>176</v>
      </c>
      <c r="D43" s="28">
        <v>45693</v>
      </c>
      <c r="E43" s="29">
        <v>45694</v>
      </c>
      <c r="F43" s="58" t="s">
        <v>181</v>
      </c>
      <c r="G43" s="41" t="s">
        <v>180</v>
      </c>
      <c r="H43" s="28">
        <v>45299</v>
      </c>
      <c r="I43" s="42">
        <v>805428654</v>
      </c>
      <c r="J43" s="42">
        <v>181402850</v>
      </c>
      <c r="K43" s="42">
        <f>J43*11%</f>
        <v>19954313.5</v>
      </c>
      <c r="L43" s="44">
        <f>J43+K43</f>
        <v>201357163.5</v>
      </c>
      <c r="M43" s="276" t="s">
        <v>400</v>
      </c>
      <c r="N43" s="261">
        <v>200367615</v>
      </c>
      <c r="O43" s="263">
        <f>L43+L44-N43</f>
        <v>3209548.5</v>
      </c>
      <c r="P43" s="41" t="s">
        <v>402</v>
      </c>
    </row>
    <row r="44" spans="1:16" s="17" customFormat="1" ht="36" x14ac:dyDescent="0.35">
      <c r="A44" s="30">
        <v>2</v>
      </c>
      <c r="B44" s="34" t="s">
        <v>123</v>
      </c>
      <c r="C44" s="142" t="s">
        <v>177</v>
      </c>
      <c r="D44" s="28">
        <v>45693</v>
      </c>
      <c r="E44" s="29">
        <v>45694</v>
      </c>
      <c r="F44" s="34" t="s">
        <v>183</v>
      </c>
      <c r="G44" s="41" t="s">
        <v>184</v>
      </c>
      <c r="H44" s="28">
        <v>45671</v>
      </c>
      <c r="I44" s="42">
        <v>2220000</v>
      </c>
      <c r="J44" s="42">
        <v>2000000</v>
      </c>
      <c r="K44" s="39">
        <f t="shared" ref="K44" si="5">J44*11%</f>
        <v>220000</v>
      </c>
      <c r="L44" s="106">
        <f t="shared" ref="L44" si="6">J44+K44</f>
        <v>2220000</v>
      </c>
      <c r="M44" s="277"/>
      <c r="N44" s="262"/>
      <c r="O44" s="264"/>
      <c r="P44" s="148" t="s">
        <v>401</v>
      </c>
    </row>
    <row r="45" spans="1:16" s="17" customFormat="1" ht="30" customHeight="1" x14ac:dyDescent="0.35">
      <c r="A45" s="30">
        <v>3</v>
      </c>
      <c r="B45" s="45" t="s">
        <v>174</v>
      </c>
      <c r="C45" s="108" t="s">
        <v>178</v>
      </c>
      <c r="D45" s="28">
        <v>45693</v>
      </c>
      <c r="E45" s="29">
        <v>45694</v>
      </c>
      <c r="F45" s="34" t="s">
        <v>185</v>
      </c>
      <c r="G45" s="41" t="s">
        <v>182</v>
      </c>
      <c r="H45" s="28">
        <v>45546</v>
      </c>
      <c r="I45" s="42">
        <v>54390000</v>
      </c>
      <c r="J45" s="42">
        <v>24500000</v>
      </c>
      <c r="K45" s="42">
        <f t="shared" ref="K45:K53" si="7">J45*11%</f>
        <v>2695000</v>
      </c>
      <c r="L45" s="44">
        <f t="shared" ref="L45:L72" si="8">J45+K45</f>
        <v>27195000</v>
      </c>
      <c r="M45" s="30" t="s">
        <v>432</v>
      </c>
      <c r="N45" s="39">
        <v>24010000</v>
      </c>
      <c r="O45" s="44">
        <f t="shared" ref="O45:O58" si="9">L45-N45</f>
        <v>3185000</v>
      </c>
      <c r="P45" s="35" t="s">
        <v>433</v>
      </c>
    </row>
    <row r="46" spans="1:16" s="17" customFormat="1" ht="24" x14ac:dyDescent="0.35">
      <c r="A46" s="30">
        <v>4</v>
      </c>
      <c r="B46" s="45" t="s">
        <v>175</v>
      </c>
      <c r="C46" s="108" t="s">
        <v>179</v>
      </c>
      <c r="D46" s="28">
        <v>45693</v>
      </c>
      <c r="E46" s="29">
        <v>45694</v>
      </c>
      <c r="F46" s="34" t="s">
        <v>186</v>
      </c>
      <c r="G46" s="41">
        <v>158332</v>
      </c>
      <c r="H46" s="29">
        <v>45464</v>
      </c>
      <c r="I46" s="42">
        <v>3403260000</v>
      </c>
      <c r="J46" s="42">
        <v>2759400000</v>
      </c>
      <c r="K46" s="42">
        <f t="shared" si="7"/>
        <v>303534000</v>
      </c>
      <c r="L46" s="44">
        <f t="shared" si="8"/>
        <v>3062934000</v>
      </c>
      <c r="M46" s="30" t="s">
        <v>371</v>
      </c>
      <c r="N46" s="39">
        <v>3014644500</v>
      </c>
      <c r="O46" s="44">
        <f t="shared" si="9"/>
        <v>48289500</v>
      </c>
      <c r="P46" s="35" t="s">
        <v>354</v>
      </c>
    </row>
    <row r="47" spans="1:16" s="17" customFormat="1" x14ac:dyDescent="0.35">
      <c r="A47" s="30">
        <v>5</v>
      </c>
      <c r="B47" s="45" t="s">
        <v>187</v>
      </c>
      <c r="C47" s="108" t="s">
        <v>188</v>
      </c>
      <c r="D47" s="36">
        <v>45694</v>
      </c>
      <c r="E47" s="29">
        <v>45699</v>
      </c>
      <c r="F47" s="34" t="s">
        <v>189</v>
      </c>
      <c r="G47" s="41">
        <v>4500050515</v>
      </c>
      <c r="H47" s="29">
        <v>45672</v>
      </c>
      <c r="I47" s="42">
        <v>31080000</v>
      </c>
      <c r="J47" s="42">
        <v>28000000</v>
      </c>
      <c r="K47" s="42">
        <f t="shared" si="7"/>
        <v>3080000</v>
      </c>
      <c r="L47" s="44">
        <f t="shared" si="8"/>
        <v>31080000</v>
      </c>
      <c r="M47" s="30" t="s">
        <v>425</v>
      </c>
      <c r="N47" s="39">
        <v>30520000</v>
      </c>
      <c r="O47" s="44">
        <f t="shared" si="9"/>
        <v>560000</v>
      </c>
      <c r="P47" s="35" t="s">
        <v>206</v>
      </c>
    </row>
    <row r="48" spans="1:16" s="17" customFormat="1" ht="36" x14ac:dyDescent="0.35">
      <c r="A48" s="30">
        <v>6</v>
      </c>
      <c r="B48" s="45" t="s">
        <v>190</v>
      </c>
      <c r="C48" s="30" t="s">
        <v>191</v>
      </c>
      <c r="D48" s="36">
        <v>45698</v>
      </c>
      <c r="E48" s="29">
        <v>45699</v>
      </c>
      <c r="F48" s="34" t="s">
        <v>192</v>
      </c>
      <c r="G48" s="41" t="s">
        <v>193</v>
      </c>
      <c r="H48" s="29">
        <v>45677</v>
      </c>
      <c r="I48" s="42">
        <v>24420000</v>
      </c>
      <c r="J48" s="42">
        <v>22000000</v>
      </c>
      <c r="K48" s="42">
        <f t="shared" si="7"/>
        <v>2420000</v>
      </c>
      <c r="L48" s="44">
        <f t="shared" si="8"/>
        <v>24420000</v>
      </c>
      <c r="M48" s="57" t="s">
        <v>356</v>
      </c>
      <c r="N48" s="39">
        <v>24420000</v>
      </c>
      <c r="O48" s="44">
        <f t="shared" si="9"/>
        <v>0</v>
      </c>
      <c r="P48" s="35"/>
    </row>
    <row r="49" spans="1:16" s="17" customFormat="1" x14ac:dyDescent="0.35">
      <c r="A49" s="30">
        <v>7</v>
      </c>
      <c r="B49" s="45" t="s">
        <v>194</v>
      </c>
      <c r="C49" s="30" t="s">
        <v>195</v>
      </c>
      <c r="D49" s="36">
        <v>45698</v>
      </c>
      <c r="E49" s="29">
        <v>45699</v>
      </c>
      <c r="F49" s="34" t="s">
        <v>197</v>
      </c>
      <c r="G49" s="41" t="s">
        <v>196</v>
      </c>
      <c r="H49" s="28">
        <v>45642</v>
      </c>
      <c r="I49" s="42">
        <v>41070000</v>
      </c>
      <c r="J49" s="42">
        <v>18500000</v>
      </c>
      <c r="K49" s="42">
        <f t="shared" si="7"/>
        <v>2035000</v>
      </c>
      <c r="L49" s="44">
        <f t="shared" si="8"/>
        <v>20535000</v>
      </c>
      <c r="M49" s="57" t="s">
        <v>357</v>
      </c>
      <c r="N49" s="39">
        <v>20535000</v>
      </c>
      <c r="O49" s="44">
        <f t="shared" si="9"/>
        <v>0</v>
      </c>
      <c r="P49" s="35"/>
    </row>
    <row r="50" spans="1:16" s="17" customFormat="1" x14ac:dyDescent="0.35">
      <c r="A50" s="30">
        <v>8</v>
      </c>
      <c r="B50" s="31" t="s">
        <v>198</v>
      </c>
      <c r="C50" s="108" t="s">
        <v>199</v>
      </c>
      <c r="D50" s="36">
        <v>45698</v>
      </c>
      <c r="E50" s="29">
        <v>45699</v>
      </c>
      <c r="F50" s="34" t="s">
        <v>201</v>
      </c>
      <c r="G50" s="41" t="s">
        <v>200</v>
      </c>
      <c r="H50" s="29">
        <v>45656</v>
      </c>
      <c r="I50" s="42">
        <v>41292000</v>
      </c>
      <c r="J50" s="42">
        <v>7800000</v>
      </c>
      <c r="K50" s="42">
        <f t="shared" si="7"/>
        <v>858000</v>
      </c>
      <c r="L50" s="44">
        <f t="shared" si="8"/>
        <v>8658000</v>
      </c>
      <c r="M50" s="57" t="s">
        <v>425</v>
      </c>
      <c r="N50" s="39">
        <v>8502000</v>
      </c>
      <c r="O50" s="44">
        <f t="shared" si="9"/>
        <v>156000</v>
      </c>
      <c r="P50" s="35" t="s">
        <v>206</v>
      </c>
    </row>
    <row r="51" spans="1:16" s="17" customFormat="1" x14ac:dyDescent="0.35">
      <c r="A51" s="30">
        <v>9</v>
      </c>
      <c r="B51" s="31" t="s">
        <v>202</v>
      </c>
      <c r="C51" s="108" t="s">
        <v>203</v>
      </c>
      <c r="D51" s="36">
        <v>45698</v>
      </c>
      <c r="E51" s="29">
        <v>45702</v>
      </c>
      <c r="F51" s="31" t="s">
        <v>204</v>
      </c>
      <c r="G51" s="41">
        <v>4800508600</v>
      </c>
      <c r="H51" s="28">
        <v>45176</v>
      </c>
      <c r="I51" s="42">
        <v>832500000</v>
      </c>
      <c r="J51" s="42">
        <v>750000000</v>
      </c>
      <c r="K51" s="42">
        <f t="shared" si="7"/>
        <v>82500000</v>
      </c>
      <c r="L51" s="44">
        <f t="shared" si="8"/>
        <v>832500000</v>
      </c>
      <c r="M51" s="30" t="s">
        <v>373</v>
      </c>
      <c r="N51" s="39">
        <v>817500000</v>
      </c>
      <c r="O51" s="44">
        <f t="shared" si="9"/>
        <v>15000000</v>
      </c>
      <c r="P51" s="35" t="s">
        <v>206</v>
      </c>
    </row>
    <row r="52" spans="1:16" s="17" customFormat="1" x14ac:dyDescent="0.35">
      <c r="A52" s="30">
        <v>10</v>
      </c>
      <c r="B52" s="31" t="s">
        <v>207</v>
      </c>
      <c r="C52" s="108" t="s">
        <v>208</v>
      </c>
      <c r="D52" s="36">
        <v>45701</v>
      </c>
      <c r="E52" s="29">
        <v>45702</v>
      </c>
      <c r="F52" s="31" t="s">
        <v>209</v>
      </c>
      <c r="G52" s="41">
        <v>4800558289</v>
      </c>
      <c r="H52" s="28">
        <v>45544</v>
      </c>
      <c r="I52" s="42">
        <v>832500000</v>
      </c>
      <c r="J52" s="42">
        <v>187500000</v>
      </c>
      <c r="K52" s="42">
        <f t="shared" si="7"/>
        <v>20625000</v>
      </c>
      <c r="L52" s="44">
        <f t="shared" si="8"/>
        <v>208125000</v>
      </c>
      <c r="M52" s="30" t="s">
        <v>372</v>
      </c>
      <c r="N52" s="39">
        <v>204375000</v>
      </c>
      <c r="O52" s="44">
        <f t="shared" si="9"/>
        <v>3750000</v>
      </c>
      <c r="P52" s="35" t="s">
        <v>206</v>
      </c>
    </row>
    <row r="53" spans="1:16" s="17" customFormat="1" x14ac:dyDescent="0.35">
      <c r="A53" s="30">
        <v>11</v>
      </c>
      <c r="B53" s="45" t="s">
        <v>210</v>
      </c>
      <c r="C53" s="108" t="s">
        <v>211</v>
      </c>
      <c r="D53" s="36">
        <v>45701</v>
      </c>
      <c r="E53" s="36">
        <v>45702</v>
      </c>
      <c r="F53" s="34" t="s">
        <v>212</v>
      </c>
      <c r="G53" s="41" t="s">
        <v>213</v>
      </c>
      <c r="H53" s="29">
        <v>45359</v>
      </c>
      <c r="I53" s="42">
        <v>858030000</v>
      </c>
      <c r="J53" s="42">
        <v>567851000</v>
      </c>
      <c r="K53" s="42">
        <f t="shared" si="7"/>
        <v>62463610</v>
      </c>
      <c r="L53" s="44">
        <f t="shared" si="8"/>
        <v>630314610</v>
      </c>
      <c r="M53" s="32" t="s">
        <v>360</v>
      </c>
      <c r="N53" s="42">
        <v>629544610</v>
      </c>
      <c r="O53" s="44">
        <f>L53-N53</f>
        <v>770000</v>
      </c>
      <c r="P53" s="41" t="s">
        <v>361</v>
      </c>
    </row>
    <row r="54" spans="1:16" s="17" customFormat="1" ht="24" x14ac:dyDescent="0.35">
      <c r="A54" s="30">
        <v>12</v>
      </c>
      <c r="B54" s="31" t="s">
        <v>123</v>
      </c>
      <c r="C54" s="142" t="s">
        <v>214</v>
      </c>
      <c r="D54" s="28">
        <v>45702</v>
      </c>
      <c r="E54" s="28">
        <v>45702</v>
      </c>
      <c r="F54" s="43" t="s">
        <v>217</v>
      </c>
      <c r="G54" s="35" t="s">
        <v>216</v>
      </c>
      <c r="H54" s="36">
        <v>45567</v>
      </c>
      <c r="I54" s="37">
        <v>177600000</v>
      </c>
      <c r="J54" s="42">
        <v>112000000</v>
      </c>
      <c r="K54" s="42">
        <f>J54*11%</f>
        <v>12320000</v>
      </c>
      <c r="L54" s="44">
        <f t="shared" si="8"/>
        <v>124320000</v>
      </c>
      <c r="M54" s="267" t="s">
        <v>387</v>
      </c>
      <c r="N54" s="261">
        <v>126730000</v>
      </c>
      <c r="O54" s="263">
        <f>L54+L55-N54</f>
        <v>2030000</v>
      </c>
      <c r="P54" s="41" t="s">
        <v>388</v>
      </c>
    </row>
    <row r="55" spans="1:16" s="17" customFormat="1" ht="15" customHeight="1" x14ac:dyDescent="0.35">
      <c r="A55" s="30">
        <v>13</v>
      </c>
      <c r="B55" s="45" t="s">
        <v>123</v>
      </c>
      <c r="C55" s="108" t="s">
        <v>215</v>
      </c>
      <c r="D55" s="28">
        <v>45702</v>
      </c>
      <c r="E55" s="28">
        <v>45702</v>
      </c>
      <c r="F55" s="34" t="s">
        <v>218</v>
      </c>
      <c r="G55" s="41" t="s">
        <v>219</v>
      </c>
      <c r="H55" s="29">
        <v>45677</v>
      </c>
      <c r="I55" s="42">
        <v>4440000</v>
      </c>
      <c r="J55" s="42">
        <v>4000000</v>
      </c>
      <c r="K55" s="42">
        <f t="shared" ref="K55:K72" si="10">J55*11%</f>
        <v>440000</v>
      </c>
      <c r="L55" s="44">
        <f t="shared" si="8"/>
        <v>4440000</v>
      </c>
      <c r="M55" s="269"/>
      <c r="N55" s="262"/>
      <c r="O55" s="264"/>
      <c r="P55" s="41" t="s">
        <v>389</v>
      </c>
    </row>
    <row r="56" spans="1:16" s="17" customFormat="1" ht="15" customHeight="1" x14ac:dyDescent="0.35">
      <c r="A56" s="30">
        <v>14</v>
      </c>
      <c r="B56" s="45" t="s">
        <v>194</v>
      </c>
      <c r="C56" s="30" t="s">
        <v>220</v>
      </c>
      <c r="D56" s="36">
        <v>45702</v>
      </c>
      <c r="E56" s="36">
        <v>45705</v>
      </c>
      <c r="F56" s="34" t="s">
        <v>222</v>
      </c>
      <c r="G56" s="41" t="s">
        <v>196</v>
      </c>
      <c r="H56" s="28">
        <v>45642</v>
      </c>
      <c r="I56" s="42">
        <v>41070000</v>
      </c>
      <c r="J56" s="42">
        <v>7400000</v>
      </c>
      <c r="K56" s="42">
        <f t="shared" si="10"/>
        <v>814000</v>
      </c>
      <c r="L56" s="44">
        <f t="shared" si="8"/>
        <v>8214000</v>
      </c>
      <c r="M56" s="32" t="s">
        <v>274</v>
      </c>
      <c r="N56" s="42">
        <v>8207500</v>
      </c>
      <c r="O56" s="44">
        <f>L56-N56</f>
        <v>6500</v>
      </c>
      <c r="P56" s="41" t="s">
        <v>424</v>
      </c>
    </row>
    <row r="57" spans="1:16" s="17" customFormat="1" ht="24" x14ac:dyDescent="0.35">
      <c r="A57" s="30">
        <v>15</v>
      </c>
      <c r="B57" s="45" t="s">
        <v>194</v>
      </c>
      <c r="C57" s="108" t="s">
        <v>221</v>
      </c>
      <c r="D57" s="36">
        <v>45702</v>
      </c>
      <c r="E57" s="36">
        <v>45705</v>
      </c>
      <c r="F57" s="34" t="s">
        <v>223</v>
      </c>
      <c r="G57" s="41" t="s">
        <v>224</v>
      </c>
      <c r="H57" s="29">
        <v>45687</v>
      </c>
      <c r="I57" s="42">
        <v>52170000</v>
      </c>
      <c r="J57" s="42">
        <v>47000000</v>
      </c>
      <c r="K57" s="42">
        <f t="shared" si="10"/>
        <v>5170000</v>
      </c>
      <c r="L57" s="44">
        <f t="shared" si="8"/>
        <v>52170000</v>
      </c>
      <c r="M57" s="32" t="s">
        <v>515</v>
      </c>
      <c r="N57" s="38">
        <v>51230000</v>
      </c>
      <c r="O57" s="44">
        <f t="shared" si="9"/>
        <v>940000</v>
      </c>
      <c r="P57" s="41" t="s">
        <v>206</v>
      </c>
    </row>
    <row r="58" spans="1:16" s="17" customFormat="1" x14ac:dyDescent="0.35">
      <c r="A58" s="30">
        <v>16</v>
      </c>
      <c r="B58" s="45" t="s">
        <v>396</v>
      </c>
      <c r="C58" s="30" t="s">
        <v>226</v>
      </c>
      <c r="D58" s="36">
        <v>45706</v>
      </c>
      <c r="E58" s="36">
        <v>45707</v>
      </c>
      <c r="F58" s="58" t="s">
        <v>230</v>
      </c>
      <c r="G58" s="41" t="s">
        <v>231</v>
      </c>
      <c r="H58" s="29">
        <v>45586</v>
      </c>
      <c r="I58" s="42">
        <v>1232100000</v>
      </c>
      <c r="J58" s="42">
        <v>222000000</v>
      </c>
      <c r="K58" s="42">
        <f t="shared" si="10"/>
        <v>24420000</v>
      </c>
      <c r="L58" s="44">
        <f t="shared" si="8"/>
        <v>246420000</v>
      </c>
      <c r="M58" s="32" t="s">
        <v>358</v>
      </c>
      <c r="N58" s="38">
        <v>246417100</v>
      </c>
      <c r="O58" s="44">
        <f t="shared" si="9"/>
        <v>2900</v>
      </c>
      <c r="P58" s="41" t="s">
        <v>359</v>
      </c>
    </row>
    <row r="59" spans="1:16" s="17" customFormat="1" ht="24" x14ac:dyDescent="0.35">
      <c r="A59" s="30">
        <v>17</v>
      </c>
      <c r="B59" s="31" t="s">
        <v>145</v>
      </c>
      <c r="C59" s="30" t="s">
        <v>228</v>
      </c>
      <c r="D59" s="36">
        <v>45706</v>
      </c>
      <c r="E59" s="36">
        <v>45707</v>
      </c>
      <c r="F59" s="34" t="s">
        <v>229</v>
      </c>
      <c r="G59" s="35" t="s">
        <v>146</v>
      </c>
      <c r="H59" s="28">
        <v>45166</v>
      </c>
      <c r="I59" s="37">
        <v>6284642400</v>
      </c>
      <c r="J59" s="42">
        <v>235910000</v>
      </c>
      <c r="K59" s="42">
        <f t="shared" si="10"/>
        <v>25950100</v>
      </c>
      <c r="L59" s="44">
        <f t="shared" si="8"/>
        <v>261860100</v>
      </c>
      <c r="M59" s="28" t="s">
        <v>283</v>
      </c>
      <c r="N59" s="38">
        <v>261860100</v>
      </c>
      <c r="O59" s="44">
        <f t="shared" ref="O59:O72" si="11">L59-N59</f>
        <v>0</v>
      </c>
      <c r="P59" s="41"/>
    </row>
    <row r="60" spans="1:16" s="17" customFormat="1" x14ac:dyDescent="0.35">
      <c r="A60" s="30">
        <v>18</v>
      </c>
      <c r="B60" s="31" t="s">
        <v>225</v>
      </c>
      <c r="C60" s="108" t="s">
        <v>227</v>
      </c>
      <c r="D60" s="36">
        <v>45706</v>
      </c>
      <c r="E60" s="36">
        <v>45707</v>
      </c>
      <c r="F60" s="34" t="s">
        <v>233</v>
      </c>
      <c r="G60" s="41" t="s">
        <v>232</v>
      </c>
      <c r="H60" s="28">
        <v>45447</v>
      </c>
      <c r="I60" s="42">
        <v>109890000</v>
      </c>
      <c r="J60" s="42">
        <v>11000000</v>
      </c>
      <c r="K60" s="42">
        <f t="shared" si="10"/>
        <v>1210000</v>
      </c>
      <c r="L60" s="44">
        <f t="shared" si="8"/>
        <v>12210000</v>
      </c>
      <c r="M60" s="32" t="s">
        <v>456</v>
      </c>
      <c r="N60" s="38">
        <v>10780000</v>
      </c>
      <c r="O60" s="44">
        <f t="shared" si="11"/>
        <v>1430000</v>
      </c>
      <c r="P60" s="41" t="s">
        <v>457</v>
      </c>
    </row>
    <row r="61" spans="1:16" s="17" customFormat="1" x14ac:dyDescent="0.35">
      <c r="A61" s="30">
        <v>19</v>
      </c>
      <c r="B61" s="31" t="s">
        <v>44</v>
      </c>
      <c r="C61" s="108" t="s">
        <v>234</v>
      </c>
      <c r="D61" s="36">
        <v>45707</v>
      </c>
      <c r="E61" s="36">
        <v>45708</v>
      </c>
      <c r="F61" s="34" t="s">
        <v>235</v>
      </c>
      <c r="G61" s="41" t="s">
        <v>236</v>
      </c>
      <c r="H61" s="28">
        <v>45664</v>
      </c>
      <c r="I61" s="42">
        <v>809190000</v>
      </c>
      <c r="J61" s="42">
        <v>60750000</v>
      </c>
      <c r="K61" s="42">
        <f t="shared" si="10"/>
        <v>6682500</v>
      </c>
      <c r="L61" s="44">
        <f t="shared" si="8"/>
        <v>67432500</v>
      </c>
      <c r="M61" s="32" t="s">
        <v>428</v>
      </c>
      <c r="N61" s="38">
        <v>66217500</v>
      </c>
      <c r="O61" s="44">
        <f t="shared" si="11"/>
        <v>1215000</v>
      </c>
      <c r="P61" s="41" t="s">
        <v>206</v>
      </c>
    </row>
    <row r="62" spans="1:16" s="17" customFormat="1" ht="36" x14ac:dyDescent="0.35">
      <c r="A62" s="30">
        <v>20</v>
      </c>
      <c r="B62" s="31" t="s">
        <v>168</v>
      </c>
      <c r="C62" s="108" t="s">
        <v>237</v>
      </c>
      <c r="D62" s="36">
        <v>45712</v>
      </c>
      <c r="E62" s="36">
        <v>45714</v>
      </c>
      <c r="F62" s="34" t="s">
        <v>248</v>
      </c>
      <c r="G62" s="41">
        <v>4515731628</v>
      </c>
      <c r="H62" s="28">
        <v>45568</v>
      </c>
      <c r="I62" s="42">
        <v>1598400000</v>
      </c>
      <c r="J62" s="42">
        <v>1440000000</v>
      </c>
      <c r="K62" s="42">
        <f t="shared" si="10"/>
        <v>158400000</v>
      </c>
      <c r="L62" s="44">
        <f t="shared" si="8"/>
        <v>1598400000</v>
      </c>
      <c r="M62" s="267" t="s">
        <v>696</v>
      </c>
      <c r="N62" s="38">
        <v>1569600000</v>
      </c>
      <c r="O62" s="44">
        <f t="shared" si="11"/>
        <v>28800000</v>
      </c>
      <c r="P62" s="41" t="s">
        <v>694</v>
      </c>
    </row>
    <row r="63" spans="1:16" s="17" customFormat="1" ht="24" x14ac:dyDescent="0.35">
      <c r="A63" s="30">
        <v>21</v>
      </c>
      <c r="B63" s="31" t="s">
        <v>165</v>
      </c>
      <c r="C63" s="108" t="s">
        <v>238</v>
      </c>
      <c r="D63" s="36">
        <v>45712</v>
      </c>
      <c r="E63" s="36">
        <v>45714</v>
      </c>
      <c r="F63" s="34" t="s">
        <v>249</v>
      </c>
      <c r="G63" s="41">
        <v>4515733932</v>
      </c>
      <c r="H63" s="28">
        <v>45568</v>
      </c>
      <c r="I63" s="42">
        <v>599400000</v>
      </c>
      <c r="J63" s="42">
        <v>540000000</v>
      </c>
      <c r="K63" s="42">
        <f t="shared" si="10"/>
        <v>59400000</v>
      </c>
      <c r="L63" s="44">
        <f t="shared" si="8"/>
        <v>599400000</v>
      </c>
      <c r="M63" s="268"/>
      <c r="N63" s="38">
        <v>588600000</v>
      </c>
      <c r="O63" s="44">
        <f t="shared" si="11"/>
        <v>10800000</v>
      </c>
      <c r="P63" s="41" t="s">
        <v>695</v>
      </c>
    </row>
    <row r="64" spans="1:16" s="17" customFormat="1" x14ac:dyDescent="0.35">
      <c r="A64" s="30">
        <v>22</v>
      </c>
      <c r="B64" s="31" t="s">
        <v>250</v>
      </c>
      <c r="C64" s="30" t="s">
        <v>239</v>
      </c>
      <c r="D64" s="36">
        <v>45712</v>
      </c>
      <c r="E64" s="36">
        <v>45714</v>
      </c>
      <c r="F64" s="34" t="s">
        <v>251</v>
      </c>
      <c r="G64" s="41">
        <v>4515414471</v>
      </c>
      <c r="H64" s="28">
        <v>45426</v>
      </c>
      <c r="I64" s="42">
        <v>2712100030</v>
      </c>
      <c r="J64" s="42">
        <v>1330000000</v>
      </c>
      <c r="K64" s="42">
        <f t="shared" si="10"/>
        <v>146300000</v>
      </c>
      <c r="L64" s="44">
        <f t="shared" si="8"/>
        <v>1476300000</v>
      </c>
      <c r="M64" s="269"/>
      <c r="N64" s="38">
        <v>1476300000</v>
      </c>
      <c r="O64" s="44">
        <f t="shared" si="11"/>
        <v>0</v>
      </c>
      <c r="P64" s="41"/>
    </row>
    <row r="65" spans="1:16" s="17" customFormat="1" x14ac:dyDescent="0.35">
      <c r="A65" s="30">
        <v>23</v>
      </c>
      <c r="B65" s="31" t="s">
        <v>252</v>
      </c>
      <c r="C65" s="30" t="s">
        <v>240</v>
      </c>
      <c r="D65" s="36">
        <v>45712</v>
      </c>
      <c r="E65" s="36">
        <v>45714</v>
      </c>
      <c r="F65" s="34" t="s">
        <v>253</v>
      </c>
      <c r="G65" s="41">
        <v>4515919124</v>
      </c>
      <c r="H65" s="28">
        <v>45656</v>
      </c>
      <c r="I65" s="42">
        <v>777000000</v>
      </c>
      <c r="J65" s="42">
        <v>700000000</v>
      </c>
      <c r="K65" s="42">
        <f t="shared" si="10"/>
        <v>77000000</v>
      </c>
      <c r="L65" s="44">
        <f t="shared" si="8"/>
        <v>777000000</v>
      </c>
      <c r="M65" s="267" t="s">
        <v>630</v>
      </c>
      <c r="N65" s="38">
        <v>777000000</v>
      </c>
      <c r="O65" s="44">
        <f t="shared" si="11"/>
        <v>0</v>
      </c>
      <c r="P65" s="41"/>
    </row>
    <row r="66" spans="1:16" s="17" customFormat="1" x14ac:dyDescent="0.35">
      <c r="A66" s="30">
        <v>24</v>
      </c>
      <c r="B66" s="31" t="s">
        <v>254</v>
      </c>
      <c r="C66" s="108" t="s">
        <v>241</v>
      </c>
      <c r="D66" s="36">
        <v>45712</v>
      </c>
      <c r="E66" s="36">
        <v>45714</v>
      </c>
      <c r="F66" s="34" t="s">
        <v>255</v>
      </c>
      <c r="G66" s="41">
        <v>4515903736</v>
      </c>
      <c r="H66" s="28">
        <v>45656</v>
      </c>
      <c r="I66" s="42">
        <v>5033850000</v>
      </c>
      <c r="J66" s="42">
        <v>580000000</v>
      </c>
      <c r="K66" s="42">
        <f t="shared" si="10"/>
        <v>63800000</v>
      </c>
      <c r="L66" s="44">
        <f t="shared" si="8"/>
        <v>643800000</v>
      </c>
      <c r="M66" s="268"/>
      <c r="N66" s="38">
        <v>632200000</v>
      </c>
      <c r="O66" s="44">
        <f t="shared" si="11"/>
        <v>11600000</v>
      </c>
      <c r="P66" s="41" t="s">
        <v>206</v>
      </c>
    </row>
    <row r="67" spans="1:16" s="17" customFormat="1" ht="36" x14ac:dyDescent="0.35">
      <c r="A67" s="30">
        <v>25</v>
      </c>
      <c r="B67" s="31" t="s">
        <v>254</v>
      </c>
      <c r="C67" s="108" t="s">
        <v>242</v>
      </c>
      <c r="D67" s="36">
        <v>45712</v>
      </c>
      <c r="E67" s="36">
        <v>45714</v>
      </c>
      <c r="F67" s="34" t="s">
        <v>256</v>
      </c>
      <c r="G67" s="41">
        <v>4515903736</v>
      </c>
      <c r="H67" s="28">
        <v>45656</v>
      </c>
      <c r="I67" s="42">
        <v>5033850000</v>
      </c>
      <c r="J67" s="42">
        <v>3450000000</v>
      </c>
      <c r="K67" s="42">
        <f t="shared" si="10"/>
        <v>379500000</v>
      </c>
      <c r="L67" s="44">
        <f t="shared" si="8"/>
        <v>3829500000</v>
      </c>
      <c r="M67" s="269"/>
      <c r="N67" s="38">
        <v>3760500000</v>
      </c>
      <c r="O67" s="44">
        <f t="shared" si="11"/>
        <v>69000000</v>
      </c>
      <c r="P67" s="41" t="s">
        <v>206</v>
      </c>
    </row>
    <row r="68" spans="1:16" s="17" customFormat="1" ht="36" x14ac:dyDescent="0.35">
      <c r="A68" s="30">
        <v>26</v>
      </c>
      <c r="B68" s="31" t="s">
        <v>172</v>
      </c>
      <c r="C68" s="108" t="s">
        <v>243</v>
      </c>
      <c r="D68" s="36">
        <v>45712</v>
      </c>
      <c r="E68" s="36">
        <v>45714</v>
      </c>
      <c r="F68" s="34" t="s">
        <v>257</v>
      </c>
      <c r="G68" s="41">
        <v>4515795931</v>
      </c>
      <c r="H68" s="28">
        <v>45596</v>
      </c>
      <c r="I68" s="42">
        <v>965700000</v>
      </c>
      <c r="J68" s="42">
        <v>735000000</v>
      </c>
      <c r="K68" s="42">
        <f t="shared" si="10"/>
        <v>80850000</v>
      </c>
      <c r="L68" s="44">
        <f t="shared" si="8"/>
        <v>815850000</v>
      </c>
      <c r="M68" s="32" t="s">
        <v>696</v>
      </c>
      <c r="N68" s="38">
        <v>801150000</v>
      </c>
      <c r="O68" s="44">
        <f t="shared" si="11"/>
        <v>14700000</v>
      </c>
      <c r="P68" s="41" t="s">
        <v>697</v>
      </c>
    </row>
    <row r="69" spans="1:16" s="17" customFormat="1" x14ac:dyDescent="0.35">
      <c r="A69" s="30">
        <v>27</v>
      </c>
      <c r="B69" s="31" t="s">
        <v>258</v>
      </c>
      <c r="C69" s="108" t="s">
        <v>244</v>
      </c>
      <c r="D69" s="36">
        <v>45712</v>
      </c>
      <c r="E69" s="36">
        <v>45714</v>
      </c>
      <c r="F69" s="34" t="s">
        <v>259</v>
      </c>
      <c r="G69" s="41" t="s">
        <v>260</v>
      </c>
      <c r="H69" s="28">
        <v>45693</v>
      </c>
      <c r="I69" s="42">
        <v>56610000</v>
      </c>
      <c r="J69" s="42">
        <v>51000000</v>
      </c>
      <c r="K69" s="42">
        <f t="shared" si="10"/>
        <v>5610000</v>
      </c>
      <c r="L69" s="44">
        <f t="shared" si="8"/>
        <v>56610000</v>
      </c>
      <c r="M69" s="32" t="s">
        <v>582</v>
      </c>
      <c r="N69" s="38">
        <f>49980000+5610000</f>
        <v>55590000</v>
      </c>
      <c r="O69" s="44">
        <f t="shared" si="11"/>
        <v>1020000</v>
      </c>
      <c r="P69" s="41" t="s">
        <v>584</v>
      </c>
    </row>
    <row r="70" spans="1:16" s="17" customFormat="1" ht="24" x14ac:dyDescent="0.35">
      <c r="A70" s="89">
        <v>28</v>
      </c>
      <c r="B70" s="101" t="s">
        <v>261</v>
      </c>
      <c r="C70" s="89" t="s">
        <v>245</v>
      </c>
      <c r="D70" s="90">
        <v>45712</v>
      </c>
      <c r="E70" s="90">
        <v>45714</v>
      </c>
      <c r="F70" s="91" t="s">
        <v>263</v>
      </c>
      <c r="G70" s="92" t="s">
        <v>262</v>
      </c>
      <c r="H70" s="102">
        <v>45618</v>
      </c>
      <c r="I70" s="94">
        <v>410700000</v>
      </c>
      <c r="J70" s="94">
        <v>370000000</v>
      </c>
      <c r="K70" s="94">
        <f t="shared" si="10"/>
        <v>40700000</v>
      </c>
      <c r="L70" s="103">
        <f t="shared" si="8"/>
        <v>410700000</v>
      </c>
      <c r="M70" s="99" t="s">
        <v>958</v>
      </c>
      <c r="N70" s="100">
        <v>205347500</v>
      </c>
      <c r="O70" s="103">
        <f t="shared" si="11"/>
        <v>205352500</v>
      </c>
      <c r="P70" s="92"/>
    </row>
    <row r="71" spans="1:16" s="17" customFormat="1" ht="36" x14ac:dyDescent="0.35">
      <c r="A71" s="30">
        <v>29</v>
      </c>
      <c r="B71" s="31" t="s">
        <v>264</v>
      </c>
      <c r="C71" s="108" t="s">
        <v>246</v>
      </c>
      <c r="D71" s="36">
        <v>45712</v>
      </c>
      <c r="E71" s="36">
        <v>45714</v>
      </c>
      <c r="F71" s="34" t="s">
        <v>265</v>
      </c>
      <c r="G71" s="34">
        <v>160455</v>
      </c>
      <c r="H71" s="28">
        <v>45609</v>
      </c>
      <c r="I71" s="42">
        <v>777000000</v>
      </c>
      <c r="J71" s="42">
        <v>455000000</v>
      </c>
      <c r="K71" s="42">
        <f t="shared" si="10"/>
        <v>50050000</v>
      </c>
      <c r="L71" s="44">
        <f t="shared" si="8"/>
        <v>505050000</v>
      </c>
      <c r="M71" s="32" t="s">
        <v>398</v>
      </c>
      <c r="N71" s="38">
        <v>497087500</v>
      </c>
      <c r="O71" s="44">
        <f t="shared" si="11"/>
        <v>7962500</v>
      </c>
      <c r="P71" s="41" t="s">
        <v>354</v>
      </c>
    </row>
    <row r="72" spans="1:16" s="17" customFormat="1" x14ac:dyDescent="0.35">
      <c r="A72" s="30">
        <v>30</v>
      </c>
      <c r="B72" s="31" t="s">
        <v>266</v>
      </c>
      <c r="C72" s="30" t="s">
        <v>247</v>
      </c>
      <c r="D72" s="36">
        <v>45714</v>
      </c>
      <c r="E72" s="36">
        <v>45715</v>
      </c>
      <c r="F72" s="34" t="s">
        <v>268</v>
      </c>
      <c r="G72" s="41" t="s">
        <v>267</v>
      </c>
      <c r="H72" s="28">
        <v>45593</v>
      </c>
      <c r="I72" s="38">
        <v>2311575000</v>
      </c>
      <c r="J72" s="42">
        <v>1666000000</v>
      </c>
      <c r="K72" s="42">
        <f t="shared" si="10"/>
        <v>183260000</v>
      </c>
      <c r="L72" s="44">
        <f t="shared" si="8"/>
        <v>1849260000</v>
      </c>
      <c r="M72" s="32" t="s">
        <v>428</v>
      </c>
      <c r="N72" s="38">
        <v>1849230000</v>
      </c>
      <c r="O72" s="44">
        <f t="shared" si="11"/>
        <v>30000</v>
      </c>
      <c r="P72" s="41" t="s">
        <v>429</v>
      </c>
    </row>
    <row r="73" spans="1:16" s="62" customFormat="1" ht="30.75" customHeight="1" x14ac:dyDescent="0.35">
      <c r="A73" s="274" t="s">
        <v>33</v>
      </c>
      <c r="B73" s="274"/>
      <c r="C73" s="274"/>
      <c r="D73" s="274"/>
      <c r="E73" s="274"/>
      <c r="F73" s="274"/>
      <c r="G73" s="274"/>
      <c r="H73" s="274"/>
      <c r="I73" s="61">
        <f>SUM(I43:I72)</f>
        <v>35913478084</v>
      </c>
      <c r="J73" s="61">
        <f>SUM(J43:J72)</f>
        <v>16566013850</v>
      </c>
      <c r="K73" s="61">
        <f>SUM(K43:K72)</f>
        <v>1822261523.5</v>
      </c>
      <c r="L73" s="61">
        <f>SUM(L43:L72)</f>
        <v>18388275373.5</v>
      </c>
      <c r="M73" s="60"/>
      <c r="N73" s="47">
        <f>SUM(N43:N72)</f>
        <v>17958465925</v>
      </c>
      <c r="O73" s="61">
        <f>SUM(O43:O72)</f>
        <v>429809448.5</v>
      </c>
      <c r="P73" s="150"/>
    </row>
    <row r="74" spans="1:16" s="17" customFormat="1" ht="33" customHeight="1" x14ac:dyDescent="0.35">
      <c r="A74" s="51"/>
      <c r="B74" s="40"/>
      <c r="C74" s="51"/>
      <c r="D74" s="53"/>
      <c r="E74" s="51"/>
      <c r="F74" s="40"/>
      <c r="G74" s="51"/>
      <c r="H74" s="51"/>
      <c r="I74" s="63"/>
      <c r="J74" s="63"/>
      <c r="K74" s="63"/>
      <c r="L74" s="64"/>
      <c r="M74" s="51"/>
      <c r="N74" s="54"/>
      <c r="O74" s="40"/>
      <c r="P74" s="52"/>
    </row>
    <row r="75" spans="1:16" s="17" customFormat="1" ht="60" customHeight="1" x14ac:dyDescent="0.35">
      <c r="A75" s="32">
        <v>1</v>
      </c>
      <c r="B75" s="34" t="s">
        <v>123</v>
      </c>
      <c r="C75" s="142" t="s">
        <v>272</v>
      </c>
      <c r="D75" s="28">
        <v>45720</v>
      </c>
      <c r="E75" s="29">
        <v>45720</v>
      </c>
      <c r="F75" s="58" t="s">
        <v>273</v>
      </c>
      <c r="G75" s="41" t="s">
        <v>180</v>
      </c>
      <c r="H75" s="28">
        <v>45299</v>
      </c>
      <c r="I75" s="42">
        <v>805428654</v>
      </c>
      <c r="J75" s="38">
        <v>181402850</v>
      </c>
      <c r="K75" s="42">
        <f>J75*11%</f>
        <v>19954313.5</v>
      </c>
      <c r="L75" s="44">
        <f>J75+K75</f>
        <v>201357163.5</v>
      </c>
      <c r="M75" s="32" t="s">
        <v>530</v>
      </c>
      <c r="N75" s="38">
        <v>198182615</v>
      </c>
      <c r="O75" s="44">
        <f>L75-N75</f>
        <v>3174548.5</v>
      </c>
      <c r="P75" s="41" t="s">
        <v>354</v>
      </c>
    </row>
    <row r="76" spans="1:16" s="17" customFormat="1" ht="24" x14ac:dyDescent="0.35">
      <c r="A76" s="30">
        <v>2</v>
      </c>
      <c r="B76" s="31" t="s">
        <v>269</v>
      </c>
      <c r="C76" s="142" t="s">
        <v>270</v>
      </c>
      <c r="D76" s="28">
        <v>45719</v>
      </c>
      <c r="E76" s="29">
        <v>45720</v>
      </c>
      <c r="F76" s="59" t="s">
        <v>271</v>
      </c>
      <c r="G76" s="41">
        <v>941333072</v>
      </c>
      <c r="H76" s="28">
        <v>45408</v>
      </c>
      <c r="I76" s="42">
        <v>486069000</v>
      </c>
      <c r="J76" s="37">
        <v>87580000</v>
      </c>
      <c r="K76" s="42">
        <f t="shared" ref="K76:K106" si="12">J76*11%</f>
        <v>9633800</v>
      </c>
      <c r="L76" s="44">
        <f t="shared" ref="L76:L95" si="13">J76+K76</f>
        <v>97213800</v>
      </c>
      <c r="M76" s="32" t="s">
        <v>398</v>
      </c>
      <c r="N76" s="38">
        <v>95681150</v>
      </c>
      <c r="O76" s="44">
        <f t="shared" ref="O76:O103" si="14">L76-N76</f>
        <v>1532650</v>
      </c>
      <c r="P76" s="41" t="s">
        <v>354</v>
      </c>
    </row>
    <row r="77" spans="1:16" s="17" customFormat="1" ht="24" x14ac:dyDescent="0.3">
      <c r="A77" s="32">
        <v>3</v>
      </c>
      <c r="B77" s="31" t="s">
        <v>275</v>
      </c>
      <c r="C77" s="142" t="s">
        <v>276</v>
      </c>
      <c r="D77" s="33">
        <v>45719</v>
      </c>
      <c r="E77" s="29">
        <v>45721</v>
      </c>
      <c r="F77" s="143" t="s">
        <v>277</v>
      </c>
      <c r="G77" s="41" t="s">
        <v>278</v>
      </c>
      <c r="H77" s="28">
        <v>45701</v>
      </c>
      <c r="I77" s="42">
        <v>155400000</v>
      </c>
      <c r="J77" s="42">
        <v>46000000</v>
      </c>
      <c r="K77" s="42">
        <f t="shared" si="12"/>
        <v>5060000</v>
      </c>
      <c r="L77" s="44">
        <f t="shared" si="13"/>
        <v>51060000</v>
      </c>
      <c r="M77" s="32" t="s">
        <v>371</v>
      </c>
      <c r="N77" s="38">
        <v>45080000</v>
      </c>
      <c r="O77" s="44">
        <f t="shared" si="14"/>
        <v>5980000</v>
      </c>
      <c r="P77" s="41" t="s">
        <v>431</v>
      </c>
    </row>
    <row r="78" spans="1:16" s="17" customFormat="1" x14ac:dyDescent="0.35">
      <c r="A78" s="30">
        <v>4</v>
      </c>
      <c r="B78" s="31" t="s">
        <v>279</v>
      </c>
      <c r="C78" s="142" t="s">
        <v>280</v>
      </c>
      <c r="D78" s="33">
        <v>45723</v>
      </c>
      <c r="E78" s="33">
        <v>45726</v>
      </c>
      <c r="F78" s="58" t="s">
        <v>281</v>
      </c>
      <c r="G78" s="45" t="s">
        <v>282</v>
      </c>
      <c r="H78" s="36">
        <v>45692</v>
      </c>
      <c r="I78" s="37">
        <v>45791552</v>
      </c>
      <c r="J78" s="37">
        <v>41253650</v>
      </c>
      <c r="K78" s="42">
        <f t="shared" si="12"/>
        <v>4537901.5</v>
      </c>
      <c r="L78" s="44">
        <f t="shared" si="13"/>
        <v>45791551.5</v>
      </c>
      <c r="M78" s="32" t="s">
        <v>427</v>
      </c>
      <c r="N78" s="38">
        <v>44966479</v>
      </c>
      <c r="O78" s="44">
        <f t="shared" si="14"/>
        <v>825072.5</v>
      </c>
      <c r="P78" s="41" t="s">
        <v>206</v>
      </c>
    </row>
    <row r="79" spans="1:16" s="17" customFormat="1" ht="24" x14ac:dyDescent="0.35">
      <c r="A79" s="32">
        <v>5</v>
      </c>
      <c r="B79" s="31" t="s">
        <v>145</v>
      </c>
      <c r="C79" s="30" t="s">
        <v>287</v>
      </c>
      <c r="D79" s="36">
        <v>45726</v>
      </c>
      <c r="E79" s="36">
        <v>45727</v>
      </c>
      <c r="F79" s="34" t="s">
        <v>284</v>
      </c>
      <c r="G79" s="35" t="s">
        <v>146</v>
      </c>
      <c r="H79" s="28">
        <v>45166</v>
      </c>
      <c r="I79" s="37">
        <v>6284642400</v>
      </c>
      <c r="J79" s="42">
        <v>235910000</v>
      </c>
      <c r="K79" s="42">
        <f t="shared" si="12"/>
        <v>25950100</v>
      </c>
      <c r="L79" s="44">
        <f t="shared" si="13"/>
        <v>261860100</v>
      </c>
      <c r="M79" s="32" t="s">
        <v>455</v>
      </c>
      <c r="N79" s="42">
        <v>261860100</v>
      </c>
      <c r="O79" s="44">
        <f t="shared" si="14"/>
        <v>0</v>
      </c>
      <c r="P79" s="41"/>
    </row>
    <row r="80" spans="1:16" s="17" customFormat="1" x14ac:dyDescent="0.35">
      <c r="A80" s="30">
        <v>6</v>
      </c>
      <c r="B80" s="31" t="s">
        <v>285</v>
      </c>
      <c r="C80" s="32" t="s">
        <v>286</v>
      </c>
      <c r="D80" s="36">
        <v>45726</v>
      </c>
      <c r="E80" s="36">
        <v>45727</v>
      </c>
      <c r="F80" s="34" t="s">
        <v>288</v>
      </c>
      <c r="G80" s="41" t="s">
        <v>289</v>
      </c>
      <c r="H80" s="28">
        <v>45622</v>
      </c>
      <c r="I80" s="42">
        <v>352980000</v>
      </c>
      <c r="J80" s="42">
        <v>31800000</v>
      </c>
      <c r="K80" s="42">
        <f t="shared" si="12"/>
        <v>3498000</v>
      </c>
      <c r="L80" s="44">
        <f t="shared" si="13"/>
        <v>35298000</v>
      </c>
      <c r="M80" s="32" t="s">
        <v>455</v>
      </c>
      <c r="N80" s="42">
        <v>35298000</v>
      </c>
      <c r="O80" s="44">
        <f>L80-N80</f>
        <v>0</v>
      </c>
      <c r="P80" s="41"/>
    </row>
    <row r="81" spans="1:16" s="17" customFormat="1" ht="30" customHeight="1" x14ac:dyDescent="0.35">
      <c r="A81" s="32">
        <v>7</v>
      </c>
      <c r="B81" s="31" t="s">
        <v>275</v>
      </c>
      <c r="C81" s="142" t="s">
        <v>290</v>
      </c>
      <c r="D81" s="36">
        <v>45728</v>
      </c>
      <c r="E81" s="36">
        <v>45735</v>
      </c>
      <c r="F81" s="34" t="s">
        <v>291</v>
      </c>
      <c r="G81" s="41" t="s">
        <v>292</v>
      </c>
      <c r="H81" s="28">
        <v>45708</v>
      </c>
      <c r="I81" s="42">
        <v>9879000</v>
      </c>
      <c r="J81" s="42">
        <v>8900000</v>
      </c>
      <c r="K81" s="42">
        <f t="shared" si="12"/>
        <v>979000</v>
      </c>
      <c r="L81" s="44">
        <f t="shared" si="13"/>
        <v>9879000</v>
      </c>
      <c r="M81" s="32" t="s">
        <v>466</v>
      </c>
      <c r="N81" s="42">
        <v>8766500</v>
      </c>
      <c r="O81" s="44">
        <f>L81-N81</f>
        <v>1112500</v>
      </c>
      <c r="P81" s="41" t="s">
        <v>533</v>
      </c>
    </row>
    <row r="82" spans="1:16" s="17" customFormat="1" ht="48" x14ac:dyDescent="0.35">
      <c r="A82" s="30">
        <v>8</v>
      </c>
      <c r="B82" s="34" t="s">
        <v>632</v>
      </c>
      <c r="C82" s="142" t="s">
        <v>293</v>
      </c>
      <c r="D82" s="36">
        <v>45728</v>
      </c>
      <c r="E82" s="36">
        <v>45728</v>
      </c>
      <c r="F82" s="34" t="s">
        <v>301</v>
      </c>
      <c r="G82" s="35">
        <v>4110004931</v>
      </c>
      <c r="H82" s="36">
        <v>45692</v>
      </c>
      <c r="I82" s="37">
        <v>149596087</v>
      </c>
      <c r="J82" s="37">
        <v>134771250</v>
      </c>
      <c r="K82" s="37">
        <v>14824837</v>
      </c>
      <c r="L82" s="65">
        <f t="shared" si="13"/>
        <v>149596087</v>
      </c>
      <c r="M82" s="30" t="s">
        <v>515</v>
      </c>
      <c r="N82" s="37">
        <v>132409853</v>
      </c>
      <c r="O82" s="65">
        <f t="shared" si="14"/>
        <v>17186234</v>
      </c>
      <c r="P82" s="35" t="s">
        <v>628</v>
      </c>
    </row>
    <row r="83" spans="1:16" s="17" customFormat="1" ht="36" x14ac:dyDescent="0.35">
      <c r="A83" s="32">
        <v>9</v>
      </c>
      <c r="B83" s="31" t="s">
        <v>1198</v>
      </c>
      <c r="C83" s="32" t="s">
        <v>294</v>
      </c>
      <c r="D83" s="36">
        <v>45730</v>
      </c>
      <c r="E83" s="36">
        <v>45733</v>
      </c>
      <c r="F83" s="34" t="s">
        <v>303</v>
      </c>
      <c r="G83" s="41" t="s">
        <v>302</v>
      </c>
      <c r="H83" s="28">
        <v>45398</v>
      </c>
      <c r="I83" s="42">
        <v>230000563</v>
      </c>
      <c r="J83" s="42">
        <v>165766172</v>
      </c>
      <c r="K83" s="42">
        <f t="shared" si="12"/>
        <v>18234278.920000002</v>
      </c>
      <c r="L83" s="44">
        <f t="shared" si="13"/>
        <v>184000450.92000002</v>
      </c>
      <c r="M83" s="32" t="s">
        <v>466</v>
      </c>
      <c r="N83" s="42">
        <v>184000451</v>
      </c>
      <c r="O83" s="65">
        <f t="shared" si="14"/>
        <v>-7.9999983310699463E-2</v>
      </c>
      <c r="P83" s="41"/>
    </row>
    <row r="84" spans="1:16" s="17" customFormat="1" ht="48" x14ac:dyDescent="0.35">
      <c r="A84" s="30">
        <v>10</v>
      </c>
      <c r="B84" s="31" t="s">
        <v>258</v>
      </c>
      <c r="C84" s="32" t="s">
        <v>295</v>
      </c>
      <c r="D84" s="36">
        <v>45730</v>
      </c>
      <c r="E84" s="36">
        <v>45733</v>
      </c>
      <c r="F84" s="34" t="s">
        <v>304</v>
      </c>
      <c r="G84" s="41" t="s">
        <v>305</v>
      </c>
      <c r="H84" s="28">
        <v>45714</v>
      </c>
      <c r="I84" s="42">
        <v>339226656</v>
      </c>
      <c r="J84" s="42">
        <v>305609600</v>
      </c>
      <c r="K84" s="42">
        <f t="shared" si="12"/>
        <v>33617056</v>
      </c>
      <c r="L84" s="44">
        <f t="shared" si="13"/>
        <v>339226656</v>
      </c>
      <c r="M84" s="32" t="s">
        <v>583</v>
      </c>
      <c r="N84" s="42">
        <f>305609600+33617056</f>
        <v>339226656</v>
      </c>
      <c r="O84" s="44">
        <f t="shared" ref="O84:O86" si="15">L84-N84</f>
        <v>0</v>
      </c>
      <c r="P84" s="41"/>
    </row>
    <row r="85" spans="1:16" s="17" customFormat="1" x14ac:dyDescent="0.35">
      <c r="A85" s="32">
        <v>11</v>
      </c>
      <c r="B85" s="31" t="s">
        <v>258</v>
      </c>
      <c r="C85" s="32" t="s">
        <v>296</v>
      </c>
      <c r="D85" s="36">
        <v>45730</v>
      </c>
      <c r="E85" s="36">
        <v>45733</v>
      </c>
      <c r="F85" s="34" t="s">
        <v>306</v>
      </c>
      <c r="G85" s="41" t="s">
        <v>307</v>
      </c>
      <c r="H85" s="28">
        <v>45714</v>
      </c>
      <c r="I85" s="42">
        <v>24975000</v>
      </c>
      <c r="J85" s="42">
        <v>22500000</v>
      </c>
      <c r="K85" s="42">
        <f t="shared" si="12"/>
        <v>2475000</v>
      </c>
      <c r="L85" s="44">
        <f t="shared" si="13"/>
        <v>24975000</v>
      </c>
      <c r="M85" s="32" t="s">
        <v>580</v>
      </c>
      <c r="N85" s="42">
        <f>22500000+2475000</f>
        <v>24975000</v>
      </c>
      <c r="O85" s="44">
        <f t="shared" si="15"/>
        <v>0</v>
      </c>
      <c r="P85" s="41"/>
    </row>
    <row r="86" spans="1:16" s="17" customFormat="1" x14ac:dyDescent="0.35">
      <c r="A86" s="30">
        <v>12</v>
      </c>
      <c r="B86" s="31" t="s">
        <v>308</v>
      </c>
      <c r="C86" s="142" t="s">
        <v>297</v>
      </c>
      <c r="D86" s="36">
        <v>45730</v>
      </c>
      <c r="E86" s="36">
        <v>45733</v>
      </c>
      <c r="F86" s="34" t="s">
        <v>309</v>
      </c>
      <c r="G86" s="41" t="s">
        <v>310</v>
      </c>
      <c r="H86" s="28">
        <v>45680</v>
      </c>
      <c r="I86" s="42">
        <v>222000000</v>
      </c>
      <c r="J86" s="42">
        <v>200000000</v>
      </c>
      <c r="K86" s="42">
        <f t="shared" si="12"/>
        <v>22000000</v>
      </c>
      <c r="L86" s="44">
        <f t="shared" si="13"/>
        <v>222000000</v>
      </c>
      <c r="M86" s="32" t="s">
        <v>580</v>
      </c>
      <c r="N86" s="42">
        <f>196000000+22000000</f>
        <v>218000000</v>
      </c>
      <c r="O86" s="44">
        <f t="shared" si="15"/>
        <v>4000000</v>
      </c>
      <c r="P86" s="41" t="s">
        <v>579</v>
      </c>
    </row>
    <row r="87" spans="1:16" s="17" customFormat="1" x14ac:dyDescent="0.35">
      <c r="A87" s="32">
        <v>13</v>
      </c>
      <c r="B87" s="31" t="s">
        <v>308</v>
      </c>
      <c r="C87" s="32" t="s">
        <v>298</v>
      </c>
      <c r="D87" s="36">
        <v>45730</v>
      </c>
      <c r="E87" s="36">
        <v>45733</v>
      </c>
      <c r="F87" s="34" t="s">
        <v>399</v>
      </c>
      <c r="G87" s="41" t="s">
        <v>311</v>
      </c>
      <c r="H87" s="28">
        <v>45680</v>
      </c>
      <c r="I87" s="42">
        <v>333000000</v>
      </c>
      <c r="J87" s="42">
        <v>290000000</v>
      </c>
      <c r="K87" s="42">
        <f t="shared" si="12"/>
        <v>31900000</v>
      </c>
      <c r="L87" s="44">
        <f t="shared" si="13"/>
        <v>321900000</v>
      </c>
      <c r="M87" s="32" t="s">
        <v>581</v>
      </c>
      <c r="N87" s="42">
        <f>290000000+31900000</f>
        <v>321900000</v>
      </c>
      <c r="O87" s="44">
        <f t="shared" si="14"/>
        <v>0</v>
      </c>
      <c r="P87" s="41"/>
    </row>
    <row r="88" spans="1:16" s="17" customFormat="1" ht="84" x14ac:dyDescent="0.35">
      <c r="A88" s="30">
        <v>14</v>
      </c>
      <c r="B88" s="31" t="s">
        <v>312</v>
      </c>
      <c r="C88" s="142" t="s">
        <v>299</v>
      </c>
      <c r="D88" s="36">
        <v>45730</v>
      </c>
      <c r="E88" s="36">
        <v>45733</v>
      </c>
      <c r="F88" s="34" t="s">
        <v>318</v>
      </c>
      <c r="G88" s="41" t="s">
        <v>313</v>
      </c>
      <c r="H88" s="28">
        <v>45729</v>
      </c>
      <c r="I88" s="42">
        <v>410266091</v>
      </c>
      <c r="J88" s="42">
        <v>110882727</v>
      </c>
      <c r="K88" s="42">
        <f t="shared" si="12"/>
        <v>12197099.970000001</v>
      </c>
      <c r="L88" s="44">
        <f t="shared" si="13"/>
        <v>123079826.97</v>
      </c>
      <c r="M88" s="32" t="s">
        <v>531</v>
      </c>
      <c r="N88" s="42">
        <v>123004897</v>
      </c>
      <c r="O88" s="44">
        <f>L88-N88</f>
        <v>74929.969999998808</v>
      </c>
      <c r="P88" s="41" t="s">
        <v>423</v>
      </c>
    </row>
    <row r="89" spans="1:16" s="17" customFormat="1" x14ac:dyDescent="0.35">
      <c r="A89" s="32">
        <v>15</v>
      </c>
      <c r="B89" s="31" t="s">
        <v>285</v>
      </c>
      <c r="C89" s="32" t="s">
        <v>300</v>
      </c>
      <c r="D89" s="36">
        <v>45733</v>
      </c>
      <c r="E89" s="36">
        <v>45734</v>
      </c>
      <c r="F89" s="34" t="s">
        <v>314</v>
      </c>
      <c r="G89" s="41" t="s">
        <v>315</v>
      </c>
      <c r="H89" s="28">
        <v>45728</v>
      </c>
      <c r="I89" s="42">
        <v>19980000</v>
      </c>
      <c r="J89" s="42">
        <v>18000000</v>
      </c>
      <c r="K89" s="42">
        <f t="shared" si="12"/>
        <v>1980000</v>
      </c>
      <c r="L89" s="44">
        <f t="shared" si="13"/>
        <v>19980000</v>
      </c>
      <c r="M89" s="32" t="s">
        <v>538</v>
      </c>
      <c r="N89" s="42">
        <v>19980000</v>
      </c>
      <c r="O89" s="44">
        <f>L89-N89</f>
        <v>0</v>
      </c>
      <c r="P89" s="41"/>
    </row>
    <row r="90" spans="1:16" s="17" customFormat="1" x14ac:dyDescent="0.35">
      <c r="A90" s="30">
        <v>16</v>
      </c>
      <c r="B90" s="31" t="s">
        <v>44</v>
      </c>
      <c r="C90" s="108" t="s">
        <v>319</v>
      </c>
      <c r="D90" s="36">
        <v>45734</v>
      </c>
      <c r="E90" s="36">
        <v>45735</v>
      </c>
      <c r="F90" s="34" t="s">
        <v>470</v>
      </c>
      <c r="G90" s="41" t="s">
        <v>236</v>
      </c>
      <c r="H90" s="28">
        <v>45664</v>
      </c>
      <c r="I90" s="42">
        <v>809190000</v>
      </c>
      <c r="J90" s="42">
        <v>60750000</v>
      </c>
      <c r="K90" s="42">
        <f t="shared" si="12"/>
        <v>6682500</v>
      </c>
      <c r="L90" s="44">
        <f t="shared" si="13"/>
        <v>67432500</v>
      </c>
      <c r="M90" s="32" t="s">
        <v>532</v>
      </c>
      <c r="N90" s="42">
        <v>66217500</v>
      </c>
      <c r="O90" s="44">
        <f t="shared" si="14"/>
        <v>1215000</v>
      </c>
      <c r="P90" s="41" t="s">
        <v>206</v>
      </c>
    </row>
    <row r="91" spans="1:16" s="17" customFormat="1" x14ac:dyDescent="0.35">
      <c r="A91" s="32">
        <v>17</v>
      </c>
      <c r="B91" s="31" t="s">
        <v>106</v>
      </c>
      <c r="C91" s="108" t="s">
        <v>320</v>
      </c>
      <c r="D91" s="36">
        <v>45735</v>
      </c>
      <c r="E91" s="36">
        <v>45735</v>
      </c>
      <c r="F91" s="31" t="s">
        <v>328</v>
      </c>
      <c r="G91" s="31" t="s">
        <v>329</v>
      </c>
      <c r="H91" s="28">
        <v>45730</v>
      </c>
      <c r="I91" s="42">
        <v>520590000</v>
      </c>
      <c r="J91" s="42">
        <v>140700000</v>
      </c>
      <c r="K91" s="42">
        <f t="shared" si="12"/>
        <v>15477000</v>
      </c>
      <c r="L91" s="44">
        <f t="shared" si="13"/>
        <v>156177000</v>
      </c>
      <c r="M91" s="267" t="s">
        <v>371</v>
      </c>
      <c r="N91" s="261">
        <v>988582644</v>
      </c>
      <c r="O91" s="263">
        <f>L91+L92+L93+L94+L95+L96+L97+L98-N91</f>
        <v>901248.29999995232</v>
      </c>
      <c r="P91" s="41" t="s">
        <v>374</v>
      </c>
    </row>
    <row r="92" spans="1:16" s="17" customFormat="1" x14ac:dyDescent="0.35">
      <c r="A92" s="30">
        <v>18</v>
      </c>
      <c r="B92" s="31" t="s">
        <v>210</v>
      </c>
      <c r="C92" s="108" t="s">
        <v>321</v>
      </c>
      <c r="D92" s="36">
        <v>45735</v>
      </c>
      <c r="E92" s="36">
        <v>45735</v>
      </c>
      <c r="F92" s="31" t="s">
        <v>328</v>
      </c>
      <c r="G92" s="41" t="s">
        <v>330</v>
      </c>
      <c r="H92" s="28">
        <v>45730</v>
      </c>
      <c r="I92" s="42">
        <v>520590000</v>
      </c>
      <c r="J92" s="42">
        <v>140700000</v>
      </c>
      <c r="K92" s="42">
        <f>J92*11%</f>
        <v>15477000</v>
      </c>
      <c r="L92" s="44">
        <f t="shared" si="13"/>
        <v>156177000</v>
      </c>
      <c r="M92" s="268"/>
      <c r="N92" s="265"/>
      <c r="O92" s="266"/>
      <c r="P92" s="41" t="s">
        <v>374</v>
      </c>
    </row>
    <row r="93" spans="1:16" s="17" customFormat="1" x14ac:dyDescent="0.35">
      <c r="A93" s="32">
        <v>19</v>
      </c>
      <c r="B93" s="31" t="s">
        <v>337</v>
      </c>
      <c r="C93" s="108" t="s">
        <v>322</v>
      </c>
      <c r="D93" s="36">
        <v>45735</v>
      </c>
      <c r="E93" s="36">
        <v>45735</v>
      </c>
      <c r="F93" s="31" t="s">
        <v>338</v>
      </c>
      <c r="G93" s="41" t="s">
        <v>331</v>
      </c>
      <c r="H93" s="28">
        <v>45730</v>
      </c>
      <c r="I93" s="37">
        <v>541735500</v>
      </c>
      <c r="J93" s="42">
        <v>146415000</v>
      </c>
      <c r="K93" s="42">
        <f>J93*11%</f>
        <v>16105650</v>
      </c>
      <c r="L93" s="44">
        <f t="shared" si="13"/>
        <v>162520650</v>
      </c>
      <c r="M93" s="268"/>
      <c r="N93" s="265"/>
      <c r="O93" s="266"/>
      <c r="P93" s="41" t="s">
        <v>375</v>
      </c>
    </row>
    <row r="94" spans="1:16" s="17" customFormat="1" x14ac:dyDescent="0.35">
      <c r="A94" s="30">
        <v>20</v>
      </c>
      <c r="B94" s="31" t="s">
        <v>339</v>
      </c>
      <c r="C94" s="108" t="s">
        <v>323</v>
      </c>
      <c r="D94" s="36">
        <v>45735</v>
      </c>
      <c r="E94" s="36">
        <v>45735</v>
      </c>
      <c r="F94" s="31" t="s">
        <v>340</v>
      </c>
      <c r="G94" s="41" t="s">
        <v>332</v>
      </c>
      <c r="H94" s="28">
        <v>45730</v>
      </c>
      <c r="I94" s="42">
        <v>286785150</v>
      </c>
      <c r="J94" s="42">
        <v>77509500</v>
      </c>
      <c r="K94" s="42">
        <f>J94*11%</f>
        <v>8526045</v>
      </c>
      <c r="L94" s="44">
        <f t="shared" si="13"/>
        <v>86035545</v>
      </c>
      <c r="M94" s="268"/>
      <c r="N94" s="265"/>
      <c r="O94" s="266"/>
      <c r="P94" s="41" t="s">
        <v>376</v>
      </c>
    </row>
    <row r="95" spans="1:16" s="17" customFormat="1" x14ac:dyDescent="0.35">
      <c r="A95" s="32">
        <v>21</v>
      </c>
      <c r="B95" s="31" t="s">
        <v>341</v>
      </c>
      <c r="C95" s="108" t="s">
        <v>324</v>
      </c>
      <c r="D95" s="36">
        <v>45735</v>
      </c>
      <c r="E95" s="36">
        <v>45735</v>
      </c>
      <c r="F95" s="31" t="s">
        <v>342</v>
      </c>
      <c r="G95" s="41" t="s">
        <v>333</v>
      </c>
      <c r="H95" s="28">
        <v>45730</v>
      </c>
      <c r="I95" s="66">
        <v>349439100</v>
      </c>
      <c r="J95" s="66">
        <v>94443000</v>
      </c>
      <c r="K95" s="66">
        <f t="shared" si="12"/>
        <v>10388730</v>
      </c>
      <c r="L95" s="67">
        <f t="shared" si="13"/>
        <v>104831730</v>
      </c>
      <c r="M95" s="268"/>
      <c r="N95" s="265"/>
      <c r="O95" s="266"/>
      <c r="P95" s="151" t="s">
        <v>377</v>
      </c>
    </row>
    <row r="96" spans="1:16" s="17" customFormat="1" x14ac:dyDescent="0.35">
      <c r="A96" s="30">
        <v>22</v>
      </c>
      <c r="B96" s="31" t="s">
        <v>343</v>
      </c>
      <c r="C96" s="108" t="s">
        <v>325</v>
      </c>
      <c r="D96" s="36">
        <v>45735</v>
      </c>
      <c r="E96" s="36">
        <v>45735</v>
      </c>
      <c r="F96" s="31" t="s">
        <v>344</v>
      </c>
      <c r="G96" s="41" t="s">
        <v>334</v>
      </c>
      <c r="H96" s="28">
        <v>45730</v>
      </c>
      <c r="I96" s="66">
        <v>298254891</v>
      </c>
      <c r="J96" s="66">
        <v>80609430</v>
      </c>
      <c r="K96" s="66">
        <f t="shared" si="12"/>
        <v>8867037.3000000007</v>
      </c>
      <c r="L96" s="67">
        <f t="shared" ref="L96:L106" si="16">J96+K96</f>
        <v>89476467.299999997</v>
      </c>
      <c r="M96" s="268"/>
      <c r="N96" s="265"/>
      <c r="O96" s="266"/>
      <c r="P96" s="151" t="s">
        <v>378</v>
      </c>
    </row>
    <row r="97" spans="1:16" s="17" customFormat="1" x14ac:dyDescent="0.35">
      <c r="A97" s="32">
        <v>23</v>
      </c>
      <c r="B97" s="31" t="s">
        <v>345</v>
      </c>
      <c r="C97" s="108" t="s">
        <v>326</v>
      </c>
      <c r="D97" s="36">
        <v>45735</v>
      </c>
      <c r="E97" s="36">
        <v>45735</v>
      </c>
      <c r="F97" s="31" t="s">
        <v>346</v>
      </c>
      <c r="G97" s="41" t="s">
        <v>335</v>
      </c>
      <c r="H97" s="28">
        <v>45730</v>
      </c>
      <c r="I97" s="66">
        <v>260295000</v>
      </c>
      <c r="J97" s="66">
        <v>70350000</v>
      </c>
      <c r="K97" s="66">
        <f t="shared" si="12"/>
        <v>7738500</v>
      </c>
      <c r="L97" s="67">
        <f t="shared" si="16"/>
        <v>78088500</v>
      </c>
      <c r="M97" s="268"/>
      <c r="N97" s="265"/>
      <c r="O97" s="266"/>
      <c r="P97" s="151" t="s">
        <v>379</v>
      </c>
    </row>
    <row r="98" spans="1:16" s="17" customFormat="1" x14ac:dyDescent="0.35">
      <c r="A98" s="30">
        <v>24</v>
      </c>
      <c r="B98" s="31" t="s">
        <v>347</v>
      </c>
      <c r="C98" s="108" t="s">
        <v>327</v>
      </c>
      <c r="D98" s="36">
        <v>45735</v>
      </c>
      <c r="E98" s="36">
        <v>45735</v>
      </c>
      <c r="F98" s="31" t="s">
        <v>328</v>
      </c>
      <c r="G98" s="41" t="s">
        <v>336</v>
      </c>
      <c r="H98" s="28">
        <v>45730</v>
      </c>
      <c r="I98" s="66">
        <v>520590000</v>
      </c>
      <c r="J98" s="66">
        <v>140700000</v>
      </c>
      <c r="K98" s="66">
        <f t="shared" si="12"/>
        <v>15477000</v>
      </c>
      <c r="L98" s="67">
        <f t="shared" si="16"/>
        <v>156177000</v>
      </c>
      <c r="M98" s="269"/>
      <c r="N98" s="262"/>
      <c r="O98" s="264"/>
      <c r="P98" s="41" t="s">
        <v>374</v>
      </c>
    </row>
    <row r="99" spans="1:16" s="17" customFormat="1" x14ac:dyDescent="0.35">
      <c r="A99" s="32">
        <v>25</v>
      </c>
      <c r="B99" s="31" t="s">
        <v>348</v>
      </c>
      <c r="C99" s="32" t="s">
        <v>349</v>
      </c>
      <c r="D99" s="36">
        <v>45735</v>
      </c>
      <c r="E99" s="36">
        <v>45736</v>
      </c>
      <c r="F99" s="34" t="s">
        <v>350</v>
      </c>
      <c r="G99" s="41" t="s">
        <v>351</v>
      </c>
      <c r="H99" s="28">
        <v>45735</v>
      </c>
      <c r="I99" s="66">
        <v>5938500</v>
      </c>
      <c r="J99" s="66">
        <v>5350000</v>
      </c>
      <c r="K99" s="66">
        <f t="shared" si="12"/>
        <v>588500</v>
      </c>
      <c r="L99" s="67">
        <f t="shared" si="16"/>
        <v>5938500</v>
      </c>
      <c r="M99" s="32" t="s">
        <v>430</v>
      </c>
      <c r="N99" s="42">
        <v>5938500</v>
      </c>
      <c r="O99" s="44">
        <f>L99-N99</f>
        <v>0</v>
      </c>
      <c r="P99" s="41"/>
    </row>
    <row r="100" spans="1:16" s="17" customFormat="1" x14ac:dyDescent="0.35">
      <c r="A100" s="30">
        <v>26</v>
      </c>
      <c r="B100" s="31" t="s">
        <v>362</v>
      </c>
      <c r="C100" s="142" t="s">
        <v>363</v>
      </c>
      <c r="D100" s="36">
        <v>45736</v>
      </c>
      <c r="E100" s="36">
        <v>45737</v>
      </c>
      <c r="F100" s="34" t="s">
        <v>366</v>
      </c>
      <c r="G100" s="41" t="s">
        <v>367</v>
      </c>
      <c r="H100" s="28">
        <v>45734</v>
      </c>
      <c r="I100" s="66">
        <v>2940694140</v>
      </c>
      <c r="J100" s="66">
        <v>794782200</v>
      </c>
      <c r="K100" s="66">
        <f t="shared" si="12"/>
        <v>87426042</v>
      </c>
      <c r="L100" s="67">
        <f t="shared" si="16"/>
        <v>882208242</v>
      </c>
      <c r="M100" s="140" t="s">
        <v>386</v>
      </c>
      <c r="N100" s="66">
        <v>881035242</v>
      </c>
      <c r="O100" s="67">
        <f>L100-N100</f>
        <v>1173000</v>
      </c>
      <c r="P100" s="151" t="s">
        <v>380</v>
      </c>
    </row>
    <row r="101" spans="1:16" s="17" customFormat="1" x14ac:dyDescent="0.35">
      <c r="A101" s="32">
        <v>27</v>
      </c>
      <c r="B101" s="31" t="s">
        <v>348</v>
      </c>
      <c r="C101" s="32" t="s">
        <v>364</v>
      </c>
      <c r="D101" s="36">
        <v>45736</v>
      </c>
      <c r="E101" s="36">
        <v>45737</v>
      </c>
      <c r="F101" s="34" t="s">
        <v>350</v>
      </c>
      <c r="G101" s="41" t="s">
        <v>368</v>
      </c>
      <c r="H101" s="28">
        <v>45736</v>
      </c>
      <c r="I101" s="66">
        <v>5938500</v>
      </c>
      <c r="J101" s="66">
        <v>5350000</v>
      </c>
      <c r="K101" s="66">
        <f t="shared" si="12"/>
        <v>588500</v>
      </c>
      <c r="L101" s="67">
        <f t="shared" si="16"/>
        <v>5938500</v>
      </c>
      <c r="M101" s="140" t="s">
        <v>385</v>
      </c>
      <c r="N101" s="66">
        <v>5938500</v>
      </c>
      <c r="O101" s="67">
        <f>L101-N101</f>
        <v>0</v>
      </c>
      <c r="P101" s="151"/>
    </row>
    <row r="102" spans="1:16" s="169" customFormat="1" x14ac:dyDescent="0.35">
      <c r="A102" s="174">
        <v>28</v>
      </c>
      <c r="B102" s="161" t="s">
        <v>369</v>
      </c>
      <c r="C102" s="142" t="s">
        <v>365</v>
      </c>
      <c r="D102" s="175">
        <v>45736</v>
      </c>
      <c r="E102" s="175">
        <v>45737</v>
      </c>
      <c r="F102" s="164" t="s">
        <v>370</v>
      </c>
      <c r="G102" s="165">
        <v>6000029510</v>
      </c>
      <c r="H102" s="162">
        <v>45699</v>
      </c>
      <c r="I102" s="179">
        <v>1054500000</v>
      </c>
      <c r="J102" s="179">
        <v>190000000</v>
      </c>
      <c r="K102" s="179">
        <f t="shared" si="12"/>
        <v>20900000</v>
      </c>
      <c r="L102" s="180">
        <f t="shared" si="16"/>
        <v>210900000</v>
      </c>
      <c r="M102" s="181" t="s">
        <v>853</v>
      </c>
      <c r="N102" s="179">
        <f>87150000+100000000</f>
        <v>187150000</v>
      </c>
      <c r="O102" s="180">
        <f t="shared" si="14"/>
        <v>23750000</v>
      </c>
      <c r="P102" s="182" t="s">
        <v>728</v>
      </c>
    </row>
    <row r="103" spans="1:16" s="17" customFormat="1" x14ac:dyDescent="0.35">
      <c r="A103" s="32">
        <v>29</v>
      </c>
      <c r="B103" s="31" t="s">
        <v>381</v>
      </c>
      <c r="C103" s="32" t="s">
        <v>382</v>
      </c>
      <c r="D103" s="36">
        <v>45741</v>
      </c>
      <c r="E103" s="36">
        <v>45741</v>
      </c>
      <c r="F103" s="34" t="s">
        <v>383</v>
      </c>
      <c r="G103" s="41" t="s">
        <v>384</v>
      </c>
      <c r="H103" s="28">
        <v>45741</v>
      </c>
      <c r="I103" s="66">
        <v>1887000</v>
      </c>
      <c r="J103" s="66">
        <v>1700000</v>
      </c>
      <c r="K103" s="66">
        <f t="shared" si="12"/>
        <v>187000</v>
      </c>
      <c r="L103" s="67">
        <f t="shared" si="16"/>
        <v>1887000</v>
      </c>
      <c r="M103" s="140" t="s">
        <v>385</v>
      </c>
      <c r="N103" s="66">
        <v>1887000</v>
      </c>
      <c r="O103" s="67">
        <f t="shared" si="14"/>
        <v>0</v>
      </c>
      <c r="P103" s="151"/>
    </row>
    <row r="104" spans="1:16" s="17" customFormat="1" ht="36" x14ac:dyDescent="0.35">
      <c r="A104" s="30">
        <v>30</v>
      </c>
      <c r="B104" s="31" t="s">
        <v>254</v>
      </c>
      <c r="C104" s="32" t="s">
        <v>390</v>
      </c>
      <c r="D104" s="36">
        <v>45742</v>
      </c>
      <c r="E104" s="36">
        <v>45743</v>
      </c>
      <c r="F104" s="34" t="s">
        <v>393</v>
      </c>
      <c r="G104" s="41">
        <v>4515893274</v>
      </c>
      <c r="H104" s="28">
        <v>45671</v>
      </c>
      <c r="I104" s="66">
        <v>10475100592</v>
      </c>
      <c r="J104" s="66">
        <v>8707027560</v>
      </c>
      <c r="K104" s="66">
        <f t="shared" si="12"/>
        <v>957773031.60000002</v>
      </c>
      <c r="L104" s="67">
        <f t="shared" si="16"/>
        <v>9664800591.6000004</v>
      </c>
      <c r="M104" s="267" t="s">
        <v>696</v>
      </c>
      <c r="N104" s="66">
        <v>9664800592</v>
      </c>
      <c r="O104" s="67">
        <f>L104-N104</f>
        <v>-0.39999961853027344</v>
      </c>
      <c r="P104" s="151"/>
    </row>
    <row r="105" spans="1:16" s="17" customFormat="1" x14ac:dyDescent="0.35">
      <c r="A105" s="32">
        <v>31</v>
      </c>
      <c r="B105" s="31" t="s">
        <v>254</v>
      </c>
      <c r="C105" s="32" t="s">
        <v>391</v>
      </c>
      <c r="D105" s="36">
        <v>45742</v>
      </c>
      <c r="E105" s="36">
        <v>45743</v>
      </c>
      <c r="F105" s="34" t="s">
        <v>394</v>
      </c>
      <c r="G105" s="41">
        <v>4515893274</v>
      </c>
      <c r="H105" s="28">
        <v>45671</v>
      </c>
      <c r="I105" s="66">
        <v>10475100592</v>
      </c>
      <c r="J105" s="66">
        <v>730000000</v>
      </c>
      <c r="K105" s="66">
        <f t="shared" si="12"/>
        <v>80300000</v>
      </c>
      <c r="L105" s="67">
        <f t="shared" si="16"/>
        <v>810300000</v>
      </c>
      <c r="M105" s="269"/>
      <c r="N105" s="66">
        <v>810300000</v>
      </c>
      <c r="O105" s="67">
        <f t="shared" ref="O105:O106" si="17">L105-N105</f>
        <v>0</v>
      </c>
      <c r="P105" s="151"/>
    </row>
    <row r="106" spans="1:16" s="169" customFormat="1" x14ac:dyDescent="0.35">
      <c r="A106" s="174">
        <v>32</v>
      </c>
      <c r="B106" s="161" t="s">
        <v>254</v>
      </c>
      <c r="C106" s="160" t="s">
        <v>392</v>
      </c>
      <c r="D106" s="175">
        <v>45742</v>
      </c>
      <c r="E106" s="175">
        <v>45743</v>
      </c>
      <c r="F106" s="164" t="s">
        <v>395</v>
      </c>
      <c r="G106" s="165">
        <v>4515986222</v>
      </c>
      <c r="H106" s="162">
        <v>45691</v>
      </c>
      <c r="I106" s="179">
        <v>1706070000</v>
      </c>
      <c r="J106" s="179">
        <v>340000000</v>
      </c>
      <c r="K106" s="179">
        <f t="shared" si="12"/>
        <v>37400000</v>
      </c>
      <c r="L106" s="180">
        <f t="shared" si="16"/>
        <v>377400000</v>
      </c>
      <c r="M106" s="181" t="s">
        <v>846</v>
      </c>
      <c r="N106" s="179">
        <v>377400000</v>
      </c>
      <c r="O106" s="180">
        <f t="shared" si="17"/>
        <v>0</v>
      </c>
      <c r="P106" s="182"/>
    </row>
    <row r="107" spans="1:16" s="69" customFormat="1" ht="30.75" customHeight="1" x14ac:dyDescent="0.35">
      <c r="A107" s="273" t="s">
        <v>34</v>
      </c>
      <c r="B107" s="273"/>
      <c r="C107" s="273"/>
      <c r="D107" s="273"/>
      <c r="E107" s="273"/>
      <c r="F107" s="273"/>
      <c r="G107" s="273"/>
      <c r="H107" s="273"/>
      <c r="I107" s="61">
        <f>SUM(I75:I106)</f>
        <v>40641933968</v>
      </c>
      <c r="J107" s="61">
        <f>SUM(J75:J106)</f>
        <v>13606762939</v>
      </c>
      <c r="K107" s="61">
        <f>SUM(K75:K106)</f>
        <v>1496743922.79</v>
      </c>
      <c r="L107" s="68">
        <f>SUM(L75:L106)</f>
        <v>15103506861.790001</v>
      </c>
      <c r="M107" s="46"/>
      <c r="N107" s="47">
        <f>SUM(N75:N106)</f>
        <v>15042581679</v>
      </c>
      <c r="O107" s="61">
        <f>SUM(O75:O106)</f>
        <v>60925182.790000349</v>
      </c>
      <c r="P107" s="149"/>
    </row>
    <row r="108" spans="1:16" s="69" customFormat="1" ht="30.75" customHeight="1" x14ac:dyDescent="0.35">
      <c r="A108" s="73"/>
      <c r="B108" s="73"/>
      <c r="C108" s="73"/>
      <c r="D108" s="73"/>
      <c r="E108" s="73"/>
      <c r="F108" s="73"/>
      <c r="G108" s="73"/>
      <c r="H108" s="73"/>
      <c r="I108" s="62"/>
      <c r="J108" s="62"/>
      <c r="K108" s="62"/>
      <c r="L108" s="141"/>
      <c r="M108" s="73"/>
      <c r="N108" s="71"/>
      <c r="O108" s="62"/>
      <c r="P108" s="152"/>
    </row>
    <row r="109" spans="1:16" s="169" customFormat="1" x14ac:dyDescent="0.3">
      <c r="A109" s="160">
        <v>1</v>
      </c>
      <c r="B109" s="161" t="s">
        <v>403</v>
      </c>
      <c r="C109" s="142" t="s">
        <v>404</v>
      </c>
      <c r="D109" s="162">
        <v>45756</v>
      </c>
      <c r="E109" s="162">
        <v>45762</v>
      </c>
      <c r="F109" s="195" t="s">
        <v>411</v>
      </c>
      <c r="G109" s="165" t="s">
        <v>412</v>
      </c>
      <c r="H109" s="162">
        <v>45714</v>
      </c>
      <c r="I109" s="166">
        <v>1554000</v>
      </c>
      <c r="J109" s="166">
        <v>1400000</v>
      </c>
      <c r="K109" s="166">
        <f>J109*11%</f>
        <v>154000</v>
      </c>
      <c r="L109" s="167">
        <f>J109+K109</f>
        <v>1554000</v>
      </c>
      <c r="M109" s="193" t="s">
        <v>876</v>
      </c>
      <c r="N109" s="176">
        <v>1526000</v>
      </c>
      <c r="O109" s="186">
        <f>L109-N109</f>
        <v>28000</v>
      </c>
      <c r="P109" s="183" t="s">
        <v>970</v>
      </c>
    </row>
    <row r="110" spans="1:16" s="17" customFormat="1" x14ac:dyDescent="0.35">
      <c r="A110" s="30">
        <v>2</v>
      </c>
      <c r="B110" s="45" t="s">
        <v>150</v>
      </c>
      <c r="C110" s="32" t="s">
        <v>405</v>
      </c>
      <c r="D110" s="28">
        <v>45756</v>
      </c>
      <c r="E110" s="28">
        <v>45758</v>
      </c>
      <c r="F110" s="34" t="s">
        <v>421</v>
      </c>
      <c r="G110" s="35" t="s">
        <v>422</v>
      </c>
      <c r="H110" s="28">
        <v>45702</v>
      </c>
      <c r="I110" s="37">
        <v>2775000</v>
      </c>
      <c r="J110" s="37">
        <v>2500000</v>
      </c>
      <c r="K110" s="42">
        <f t="shared" ref="K110:K135" si="18">J110*11%</f>
        <v>275000</v>
      </c>
      <c r="L110" s="44">
        <f t="shared" ref="L110:L135" si="19">J110+K110</f>
        <v>2775000</v>
      </c>
      <c r="M110" s="32" t="s">
        <v>536</v>
      </c>
      <c r="N110" s="42">
        <v>2775000</v>
      </c>
      <c r="O110" s="65">
        <f t="shared" ref="O110:O135" si="20">L110-N110</f>
        <v>0</v>
      </c>
      <c r="P110" s="41"/>
    </row>
    <row r="111" spans="1:16" s="17" customFormat="1" x14ac:dyDescent="0.35">
      <c r="A111" s="32">
        <v>3</v>
      </c>
      <c r="B111" s="45" t="s">
        <v>308</v>
      </c>
      <c r="C111" s="32" t="s">
        <v>406</v>
      </c>
      <c r="D111" s="28">
        <v>45756</v>
      </c>
      <c r="E111" s="28">
        <v>45758</v>
      </c>
      <c r="F111" s="34" t="s">
        <v>413</v>
      </c>
      <c r="G111" s="35" t="s">
        <v>414</v>
      </c>
      <c r="H111" s="28">
        <v>45737</v>
      </c>
      <c r="I111" s="37">
        <v>33300000</v>
      </c>
      <c r="J111" s="37">
        <v>30000000</v>
      </c>
      <c r="K111" s="42">
        <f>J111*11%</f>
        <v>3300000</v>
      </c>
      <c r="L111" s="44">
        <f>J111+K111</f>
        <v>33300000</v>
      </c>
      <c r="M111" s="32" t="s">
        <v>633</v>
      </c>
      <c r="N111" s="42">
        <f>30000000+3300000</f>
        <v>33300000</v>
      </c>
      <c r="O111" s="65">
        <f t="shared" si="20"/>
        <v>0</v>
      </c>
      <c r="P111" s="41"/>
    </row>
    <row r="112" spans="1:16" s="17" customFormat="1" ht="24" x14ac:dyDescent="0.35">
      <c r="A112" s="30">
        <v>4</v>
      </c>
      <c r="B112" s="31" t="s">
        <v>78</v>
      </c>
      <c r="C112" s="142" t="s">
        <v>407</v>
      </c>
      <c r="D112" s="28">
        <v>45756</v>
      </c>
      <c r="E112" s="28">
        <v>45761</v>
      </c>
      <c r="F112" s="34" t="s">
        <v>415</v>
      </c>
      <c r="G112" s="41" t="s">
        <v>85</v>
      </c>
      <c r="H112" s="29">
        <v>45442</v>
      </c>
      <c r="I112" s="42">
        <v>47952000</v>
      </c>
      <c r="J112" s="42">
        <v>10800000</v>
      </c>
      <c r="K112" s="42">
        <f t="shared" si="18"/>
        <v>1188000</v>
      </c>
      <c r="L112" s="44">
        <f t="shared" si="19"/>
        <v>11988000</v>
      </c>
      <c r="M112" s="32" t="s">
        <v>529</v>
      </c>
      <c r="N112" s="42">
        <v>11772000</v>
      </c>
      <c r="O112" s="65">
        <f t="shared" si="20"/>
        <v>216000</v>
      </c>
      <c r="P112" s="41" t="s">
        <v>206</v>
      </c>
    </row>
    <row r="113" spans="1:16" s="169" customFormat="1" x14ac:dyDescent="0.35">
      <c r="A113" s="160">
        <v>5</v>
      </c>
      <c r="B113" s="161" t="s">
        <v>403</v>
      </c>
      <c r="C113" s="142" t="s">
        <v>408</v>
      </c>
      <c r="D113" s="162">
        <v>45756</v>
      </c>
      <c r="E113" s="162">
        <v>45762</v>
      </c>
      <c r="F113" s="164" t="s">
        <v>416</v>
      </c>
      <c r="G113" s="165" t="s">
        <v>417</v>
      </c>
      <c r="H113" s="162">
        <v>45618</v>
      </c>
      <c r="I113" s="166">
        <v>1041180000</v>
      </c>
      <c r="J113" s="166">
        <v>656600000</v>
      </c>
      <c r="K113" s="166">
        <f t="shared" si="18"/>
        <v>72226000</v>
      </c>
      <c r="L113" s="167">
        <f t="shared" si="19"/>
        <v>728826000</v>
      </c>
      <c r="M113" s="252" t="s">
        <v>876</v>
      </c>
      <c r="N113" s="254">
        <v>772095732</v>
      </c>
      <c r="O113" s="249">
        <f>L113+L114-N113</f>
        <v>617640.02999997139</v>
      </c>
      <c r="P113" s="165" t="s">
        <v>971</v>
      </c>
    </row>
    <row r="114" spans="1:16" s="169" customFormat="1" x14ac:dyDescent="0.35">
      <c r="A114" s="193">
        <v>6</v>
      </c>
      <c r="B114" s="161" t="s">
        <v>403</v>
      </c>
      <c r="C114" s="142" t="s">
        <v>409</v>
      </c>
      <c r="D114" s="162">
        <v>45756</v>
      </c>
      <c r="E114" s="162">
        <v>45762</v>
      </c>
      <c r="F114" s="164" t="s">
        <v>418</v>
      </c>
      <c r="G114" s="183" t="s">
        <v>419</v>
      </c>
      <c r="H114" s="175">
        <v>45642</v>
      </c>
      <c r="I114" s="176">
        <v>62696245</v>
      </c>
      <c r="J114" s="166">
        <v>39538173</v>
      </c>
      <c r="K114" s="166">
        <f t="shared" si="18"/>
        <v>4349199.03</v>
      </c>
      <c r="L114" s="167">
        <f t="shared" si="19"/>
        <v>43887372.030000001</v>
      </c>
      <c r="M114" s="253"/>
      <c r="N114" s="255"/>
      <c r="O114" s="251"/>
      <c r="P114" s="165" t="s">
        <v>972</v>
      </c>
    </row>
    <row r="115" spans="1:16" s="17" customFormat="1" x14ac:dyDescent="0.35">
      <c r="A115" s="32">
        <v>7</v>
      </c>
      <c r="B115" s="45" t="s">
        <v>150</v>
      </c>
      <c r="C115" s="108" t="s">
        <v>410</v>
      </c>
      <c r="D115" s="28">
        <v>45756</v>
      </c>
      <c r="E115" s="28">
        <v>45758</v>
      </c>
      <c r="F115" s="34" t="s">
        <v>420</v>
      </c>
      <c r="G115" s="35" t="s">
        <v>152</v>
      </c>
      <c r="H115" s="28">
        <v>45589</v>
      </c>
      <c r="I115" s="37">
        <v>21933600</v>
      </c>
      <c r="J115" s="42">
        <v>3293333</v>
      </c>
      <c r="K115" s="42">
        <f t="shared" si="18"/>
        <v>362266.63</v>
      </c>
      <c r="L115" s="44">
        <f t="shared" si="19"/>
        <v>3655599.63</v>
      </c>
      <c r="M115" s="32" t="s">
        <v>536</v>
      </c>
      <c r="N115" s="42">
        <v>3589733</v>
      </c>
      <c r="O115" s="65">
        <f t="shared" si="20"/>
        <v>65866.629999999888</v>
      </c>
      <c r="P115" s="41" t="s">
        <v>206</v>
      </c>
    </row>
    <row r="116" spans="1:16" s="17" customFormat="1" ht="48" x14ac:dyDescent="0.35">
      <c r="A116" s="32">
        <v>8</v>
      </c>
      <c r="B116" s="31" t="s">
        <v>316</v>
      </c>
      <c r="C116" s="142" t="s">
        <v>434</v>
      </c>
      <c r="D116" s="28">
        <v>45757</v>
      </c>
      <c r="E116" s="28">
        <v>45762</v>
      </c>
      <c r="F116" s="34" t="s">
        <v>317</v>
      </c>
      <c r="G116" s="41">
        <v>4110003594</v>
      </c>
      <c r="H116" s="28">
        <v>45392</v>
      </c>
      <c r="I116" s="42">
        <v>1132200000</v>
      </c>
      <c r="J116" s="42">
        <v>612000000</v>
      </c>
      <c r="K116" s="42">
        <f t="shared" si="18"/>
        <v>67320000</v>
      </c>
      <c r="L116" s="44">
        <f t="shared" si="19"/>
        <v>679320000</v>
      </c>
      <c r="M116" s="32" t="s">
        <v>747</v>
      </c>
      <c r="N116" s="42">
        <v>601287100</v>
      </c>
      <c r="O116" s="44">
        <f t="shared" si="20"/>
        <v>78032900</v>
      </c>
      <c r="P116" s="41" t="s">
        <v>748</v>
      </c>
    </row>
    <row r="117" spans="1:16" s="17" customFormat="1" ht="24" x14ac:dyDescent="0.35">
      <c r="A117" s="32">
        <v>9</v>
      </c>
      <c r="B117" s="34" t="s">
        <v>826</v>
      </c>
      <c r="C117" s="142" t="s">
        <v>435</v>
      </c>
      <c r="D117" s="28">
        <v>45762</v>
      </c>
      <c r="E117" s="28">
        <v>45763</v>
      </c>
      <c r="F117" s="34" t="s">
        <v>436</v>
      </c>
      <c r="G117" s="41" t="s">
        <v>437</v>
      </c>
      <c r="H117" s="28">
        <v>45735</v>
      </c>
      <c r="I117" s="42">
        <v>177600000</v>
      </c>
      <c r="J117" s="42">
        <v>48000000</v>
      </c>
      <c r="K117" s="42">
        <f t="shared" si="18"/>
        <v>5280000</v>
      </c>
      <c r="L117" s="44">
        <f t="shared" si="19"/>
        <v>53280000</v>
      </c>
      <c r="M117" s="32" t="s">
        <v>450</v>
      </c>
      <c r="N117" s="38">
        <v>53271000</v>
      </c>
      <c r="O117" s="65">
        <f t="shared" si="20"/>
        <v>9000</v>
      </c>
      <c r="P117" s="41" t="s">
        <v>451</v>
      </c>
    </row>
    <row r="118" spans="1:16" s="17" customFormat="1" x14ac:dyDescent="0.35">
      <c r="A118" s="30">
        <v>10</v>
      </c>
      <c r="B118" s="34" t="s">
        <v>438</v>
      </c>
      <c r="C118" s="142" t="s">
        <v>439</v>
      </c>
      <c r="D118" s="28">
        <v>45762</v>
      </c>
      <c r="E118" s="28">
        <v>45768</v>
      </c>
      <c r="F118" s="34" t="s">
        <v>440</v>
      </c>
      <c r="G118" s="41" t="s">
        <v>441</v>
      </c>
      <c r="H118" s="28">
        <v>45649</v>
      </c>
      <c r="I118" s="42">
        <v>33300000</v>
      </c>
      <c r="J118" s="42">
        <v>3750000</v>
      </c>
      <c r="K118" s="42">
        <f t="shared" si="18"/>
        <v>412500</v>
      </c>
      <c r="L118" s="44">
        <f t="shared" si="19"/>
        <v>4162500</v>
      </c>
      <c r="M118" s="32" t="s">
        <v>668</v>
      </c>
      <c r="N118" s="38">
        <v>4087500</v>
      </c>
      <c r="O118" s="65">
        <f t="shared" si="20"/>
        <v>75000</v>
      </c>
      <c r="P118" s="41" t="s">
        <v>206</v>
      </c>
    </row>
    <row r="119" spans="1:16" s="17" customFormat="1" ht="24" x14ac:dyDescent="0.35">
      <c r="A119" s="32">
        <v>11</v>
      </c>
      <c r="B119" s="34" t="s">
        <v>442</v>
      </c>
      <c r="C119" s="142" t="s">
        <v>443</v>
      </c>
      <c r="D119" s="28">
        <v>45761</v>
      </c>
      <c r="E119" s="28">
        <v>45764</v>
      </c>
      <c r="F119" s="34" t="s">
        <v>444</v>
      </c>
      <c r="G119" s="41" t="s">
        <v>445</v>
      </c>
      <c r="H119" s="28">
        <v>45658</v>
      </c>
      <c r="I119" s="42">
        <v>51448500</v>
      </c>
      <c r="J119" s="42">
        <v>11587500</v>
      </c>
      <c r="K119" s="42">
        <f t="shared" si="18"/>
        <v>1274625</v>
      </c>
      <c r="L119" s="44">
        <f t="shared" si="19"/>
        <v>12862125</v>
      </c>
      <c r="M119" s="32" t="s">
        <v>534</v>
      </c>
      <c r="N119" s="38">
        <v>11355750</v>
      </c>
      <c r="O119" s="65">
        <f t="shared" si="20"/>
        <v>1506375</v>
      </c>
      <c r="P119" s="41" t="s">
        <v>535</v>
      </c>
    </row>
    <row r="120" spans="1:16" s="17" customFormat="1" x14ac:dyDescent="0.35">
      <c r="A120" s="30">
        <v>12</v>
      </c>
      <c r="B120" s="34" t="s">
        <v>446</v>
      </c>
      <c r="C120" s="142" t="s">
        <v>447</v>
      </c>
      <c r="D120" s="28">
        <v>45764</v>
      </c>
      <c r="E120" s="28">
        <v>45768</v>
      </c>
      <c r="F120" s="34" t="s">
        <v>448</v>
      </c>
      <c r="G120" s="41" t="s">
        <v>449</v>
      </c>
      <c r="H120" s="28">
        <v>45763</v>
      </c>
      <c r="I120" s="42">
        <v>11100000</v>
      </c>
      <c r="J120" s="42">
        <v>3000000</v>
      </c>
      <c r="K120" s="42">
        <f t="shared" si="18"/>
        <v>330000</v>
      </c>
      <c r="L120" s="44">
        <f t="shared" si="19"/>
        <v>3330000</v>
      </c>
      <c r="M120" s="32" t="s">
        <v>466</v>
      </c>
      <c r="N120" s="38">
        <v>3270000</v>
      </c>
      <c r="O120" s="65">
        <f t="shared" si="20"/>
        <v>60000</v>
      </c>
      <c r="P120" s="41" t="s">
        <v>467</v>
      </c>
    </row>
    <row r="121" spans="1:16" s="17" customFormat="1" ht="24" x14ac:dyDescent="0.35">
      <c r="A121" s="32">
        <v>13</v>
      </c>
      <c r="B121" s="34" t="s">
        <v>145</v>
      </c>
      <c r="C121" s="32" t="s">
        <v>459</v>
      </c>
      <c r="D121" s="28">
        <v>45768</v>
      </c>
      <c r="E121" s="28">
        <v>45770</v>
      </c>
      <c r="F121" s="34" t="s">
        <v>537</v>
      </c>
      <c r="G121" s="35" t="s">
        <v>146</v>
      </c>
      <c r="H121" s="28">
        <v>45166</v>
      </c>
      <c r="I121" s="37">
        <v>6284642400</v>
      </c>
      <c r="J121" s="42">
        <v>235910000</v>
      </c>
      <c r="K121" s="42">
        <f t="shared" si="18"/>
        <v>25950100</v>
      </c>
      <c r="L121" s="44">
        <f t="shared" si="19"/>
        <v>261860100</v>
      </c>
      <c r="M121" s="32" t="s">
        <v>538</v>
      </c>
      <c r="N121" s="38">
        <v>261860100</v>
      </c>
      <c r="O121" s="65">
        <f t="shared" si="20"/>
        <v>0</v>
      </c>
      <c r="P121" s="41"/>
    </row>
    <row r="122" spans="1:16" s="17" customFormat="1" x14ac:dyDescent="0.35">
      <c r="A122" s="30">
        <v>14</v>
      </c>
      <c r="B122" s="34" t="s">
        <v>458</v>
      </c>
      <c r="C122" s="32" t="s">
        <v>460</v>
      </c>
      <c r="D122" s="28">
        <v>45768</v>
      </c>
      <c r="E122" s="28">
        <v>45770</v>
      </c>
      <c r="F122" s="34" t="s">
        <v>463</v>
      </c>
      <c r="G122" s="41" t="s">
        <v>464</v>
      </c>
      <c r="H122" s="28">
        <v>45765</v>
      </c>
      <c r="I122" s="42">
        <v>1887000</v>
      </c>
      <c r="J122" s="42">
        <v>1700000</v>
      </c>
      <c r="K122" s="42">
        <f t="shared" si="18"/>
        <v>187000</v>
      </c>
      <c r="L122" s="44">
        <f t="shared" si="19"/>
        <v>1887000</v>
      </c>
      <c r="M122" s="32" t="s">
        <v>465</v>
      </c>
      <c r="N122" s="38">
        <v>1887000</v>
      </c>
      <c r="O122" s="65">
        <f t="shared" si="20"/>
        <v>0</v>
      </c>
      <c r="P122" s="41"/>
    </row>
    <row r="123" spans="1:16" s="169" customFormat="1" ht="84" x14ac:dyDescent="0.35">
      <c r="A123" s="160">
        <v>15</v>
      </c>
      <c r="B123" s="161" t="s">
        <v>312</v>
      </c>
      <c r="C123" s="142" t="s">
        <v>461</v>
      </c>
      <c r="D123" s="162">
        <v>45768</v>
      </c>
      <c r="E123" s="162">
        <v>45770</v>
      </c>
      <c r="F123" s="164" t="s">
        <v>462</v>
      </c>
      <c r="G123" s="165" t="s">
        <v>313</v>
      </c>
      <c r="H123" s="162">
        <v>45729</v>
      </c>
      <c r="I123" s="166">
        <v>410266091</v>
      </c>
      <c r="J123" s="166">
        <v>110882727</v>
      </c>
      <c r="K123" s="166">
        <f>J123*11%</f>
        <v>12197099.970000001</v>
      </c>
      <c r="L123" s="167">
        <f t="shared" si="19"/>
        <v>123079826.97</v>
      </c>
      <c r="M123" s="160" t="s">
        <v>791</v>
      </c>
      <c r="N123" s="168">
        <v>123004897</v>
      </c>
      <c r="O123" s="186">
        <f t="shared" si="20"/>
        <v>74929.969999998808</v>
      </c>
      <c r="P123" s="165" t="s">
        <v>792</v>
      </c>
    </row>
    <row r="124" spans="1:16" s="17" customFormat="1" x14ac:dyDescent="0.35">
      <c r="A124" s="30">
        <v>16</v>
      </c>
      <c r="B124" s="45" t="s">
        <v>44</v>
      </c>
      <c r="C124" s="108" t="s">
        <v>469</v>
      </c>
      <c r="D124" s="36">
        <v>45771</v>
      </c>
      <c r="E124" s="28">
        <v>45770</v>
      </c>
      <c r="F124" s="34" t="s">
        <v>468</v>
      </c>
      <c r="G124" s="41" t="s">
        <v>236</v>
      </c>
      <c r="H124" s="28">
        <v>45664</v>
      </c>
      <c r="I124" s="42">
        <v>809190000</v>
      </c>
      <c r="J124" s="42">
        <v>60750000</v>
      </c>
      <c r="K124" s="42">
        <f t="shared" ref="K124:K125" si="21">J124*11%</f>
        <v>6682500</v>
      </c>
      <c r="L124" s="67">
        <f t="shared" si="19"/>
        <v>67432500</v>
      </c>
      <c r="M124" s="32" t="s">
        <v>629</v>
      </c>
      <c r="N124" s="38">
        <v>66217500</v>
      </c>
      <c r="O124" s="65">
        <f t="shared" si="20"/>
        <v>1215000</v>
      </c>
      <c r="P124" s="41" t="s">
        <v>206</v>
      </c>
    </row>
    <row r="125" spans="1:16" s="17" customFormat="1" x14ac:dyDescent="0.35">
      <c r="A125" s="30">
        <v>17</v>
      </c>
      <c r="B125" s="31" t="s">
        <v>285</v>
      </c>
      <c r="C125" s="32" t="s">
        <v>471</v>
      </c>
      <c r="D125" s="36">
        <v>45775</v>
      </c>
      <c r="E125" s="36">
        <v>45776</v>
      </c>
      <c r="F125" s="34" t="s">
        <v>472</v>
      </c>
      <c r="G125" s="41" t="s">
        <v>289</v>
      </c>
      <c r="H125" s="28">
        <v>45622</v>
      </c>
      <c r="I125" s="42">
        <v>352980000</v>
      </c>
      <c r="J125" s="42">
        <v>143100000</v>
      </c>
      <c r="K125" s="42">
        <f t="shared" si="21"/>
        <v>15741000</v>
      </c>
      <c r="L125" s="67">
        <f t="shared" si="19"/>
        <v>158841000</v>
      </c>
      <c r="M125" s="32" t="s">
        <v>539</v>
      </c>
      <c r="N125" s="38">
        <v>158841000</v>
      </c>
      <c r="O125" s="65">
        <f t="shared" si="20"/>
        <v>0</v>
      </c>
      <c r="P125" s="41"/>
    </row>
    <row r="126" spans="1:16" s="169" customFormat="1" ht="36" x14ac:dyDescent="0.35">
      <c r="A126" s="193">
        <v>18</v>
      </c>
      <c r="B126" s="173" t="s">
        <v>162</v>
      </c>
      <c r="C126" s="193" t="s">
        <v>473</v>
      </c>
      <c r="D126" s="175">
        <v>45775</v>
      </c>
      <c r="E126" s="175">
        <v>45776</v>
      </c>
      <c r="F126" s="164" t="s">
        <v>481</v>
      </c>
      <c r="G126" s="165">
        <v>4515590634</v>
      </c>
      <c r="H126" s="162">
        <v>45516</v>
      </c>
      <c r="I126" s="166">
        <v>9215287706</v>
      </c>
      <c r="J126" s="166">
        <v>6507060996</v>
      </c>
      <c r="K126" s="166">
        <f>J126*11%</f>
        <v>715776709.56000006</v>
      </c>
      <c r="L126" s="180">
        <f>J126+K126</f>
        <v>7222837705.5600004</v>
      </c>
      <c r="M126" s="160" t="s">
        <v>938</v>
      </c>
      <c r="N126" s="168">
        <v>7222837706</v>
      </c>
      <c r="O126" s="186">
        <f t="shared" si="20"/>
        <v>-0.43999958038330078</v>
      </c>
      <c r="P126" s="165"/>
    </row>
    <row r="127" spans="1:16" s="169" customFormat="1" ht="24" x14ac:dyDescent="0.35">
      <c r="A127" s="204">
        <v>19</v>
      </c>
      <c r="B127" s="173" t="s">
        <v>482</v>
      </c>
      <c r="C127" s="108" t="s">
        <v>474</v>
      </c>
      <c r="D127" s="175">
        <v>45775</v>
      </c>
      <c r="E127" s="175">
        <v>45776</v>
      </c>
      <c r="F127" s="164" t="s">
        <v>483</v>
      </c>
      <c r="G127" s="165">
        <v>4515934269</v>
      </c>
      <c r="H127" s="162">
        <v>45698</v>
      </c>
      <c r="I127" s="166">
        <v>773115000</v>
      </c>
      <c r="J127" s="166">
        <v>696500000</v>
      </c>
      <c r="K127" s="166">
        <f t="shared" ref="K127:K128" si="22">J127*11%</f>
        <v>76615000</v>
      </c>
      <c r="L127" s="180">
        <f t="shared" ref="L127:L128" si="23">J127+K127</f>
        <v>773115000</v>
      </c>
      <c r="M127" s="252" t="s">
        <v>1157</v>
      </c>
      <c r="N127" s="254">
        <v>1960735000</v>
      </c>
      <c r="O127" s="249">
        <f>L127+L128+L129-N127</f>
        <v>16730000</v>
      </c>
      <c r="P127" s="165" t="s">
        <v>698</v>
      </c>
    </row>
    <row r="128" spans="1:16" s="169" customFormat="1" ht="24" x14ac:dyDescent="0.35">
      <c r="A128" s="204">
        <v>20</v>
      </c>
      <c r="B128" s="173" t="s">
        <v>484</v>
      </c>
      <c r="C128" s="108" t="s">
        <v>475</v>
      </c>
      <c r="D128" s="175">
        <v>45775</v>
      </c>
      <c r="E128" s="175">
        <v>45776</v>
      </c>
      <c r="F128" s="164" t="s">
        <v>485</v>
      </c>
      <c r="G128" s="165">
        <v>4515978083</v>
      </c>
      <c r="H128" s="162">
        <v>45698</v>
      </c>
      <c r="I128" s="166">
        <v>155400000</v>
      </c>
      <c r="J128" s="166">
        <v>140000000</v>
      </c>
      <c r="K128" s="166">
        <f t="shared" si="22"/>
        <v>15400000</v>
      </c>
      <c r="L128" s="180">
        <f t="shared" si="23"/>
        <v>155400000</v>
      </c>
      <c r="M128" s="256"/>
      <c r="N128" s="257"/>
      <c r="O128" s="250"/>
      <c r="P128" s="165" t="s">
        <v>699</v>
      </c>
    </row>
    <row r="129" spans="1:16" s="169" customFormat="1" ht="80.150000000000006" customHeight="1" x14ac:dyDescent="0.35">
      <c r="A129" s="204">
        <v>21</v>
      </c>
      <c r="B129" s="173" t="s">
        <v>484</v>
      </c>
      <c r="C129" s="160" t="s">
        <v>476</v>
      </c>
      <c r="D129" s="175">
        <v>45775</v>
      </c>
      <c r="E129" s="175">
        <v>45776</v>
      </c>
      <c r="F129" s="164" t="s">
        <v>486</v>
      </c>
      <c r="G129" s="165">
        <v>4515978084</v>
      </c>
      <c r="H129" s="162">
        <v>45698</v>
      </c>
      <c r="I129" s="166">
        <v>1048950000</v>
      </c>
      <c r="J129" s="166">
        <v>945000000</v>
      </c>
      <c r="K129" s="166">
        <f t="shared" si="18"/>
        <v>103950000</v>
      </c>
      <c r="L129" s="167">
        <f t="shared" si="19"/>
        <v>1048950000</v>
      </c>
      <c r="M129" s="253"/>
      <c r="N129" s="255"/>
      <c r="O129" s="251"/>
      <c r="P129" s="165"/>
    </row>
    <row r="130" spans="1:16" s="169" customFormat="1" ht="36" x14ac:dyDescent="0.35">
      <c r="A130" s="193">
        <v>22</v>
      </c>
      <c r="B130" s="164" t="s">
        <v>487</v>
      </c>
      <c r="C130" s="160" t="s">
        <v>477</v>
      </c>
      <c r="D130" s="175">
        <v>45775</v>
      </c>
      <c r="E130" s="175">
        <v>45776</v>
      </c>
      <c r="F130" s="164" t="s">
        <v>488</v>
      </c>
      <c r="G130" s="165">
        <v>4515895214</v>
      </c>
      <c r="H130" s="162">
        <v>45637</v>
      </c>
      <c r="I130" s="166">
        <v>3433621830</v>
      </c>
      <c r="J130" s="166">
        <v>675000000</v>
      </c>
      <c r="K130" s="166">
        <f t="shared" si="18"/>
        <v>74250000</v>
      </c>
      <c r="L130" s="167">
        <f t="shared" si="19"/>
        <v>749250000</v>
      </c>
      <c r="M130" s="160" t="s">
        <v>938</v>
      </c>
      <c r="N130" s="168">
        <v>749250000</v>
      </c>
      <c r="O130" s="186">
        <f t="shared" si="20"/>
        <v>0</v>
      </c>
      <c r="P130" s="165"/>
    </row>
    <row r="131" spans="1:16" s="169" customFormat="1" x14ac:dyDescent="0.35">
      <c r="A131" s="193">
        <v>23</v>
      </c>
      <c r="B131" s="164" t="s">
        <v>487</v>
      </c>
      <c r="C131" s="193" t="s">
        <v>478</v>
      </c>
      <c r="D131" s="175">
        <v>45775</v>
      </c>
      <c r="E131" s="175">
        <v>45776</v>
      </c>
      <c r="F131" s="164" t="s">
        <v>489</v>
      </c>
      <c r="G131" s="165">
        <v>4515895214</v>
      </c>
      <c r="H131" s="162">
        <v>45637</v>
      </c>
      <c r="I131" s="166">
        <v>3433621830</v>
      </c>
      <c r="J131" s="166">
        <v>2418353000</v>
      </c>
      <c r="K131" s="166">
        <f t="shared" si="18"/>
        <v>266018830</v>
      </c>
      <c r="L131" s="167">
        <f t="shared" si="19"/>
        <v>2684371830</v>
      </c>
      <c r="M131" s="160" t="s">
        <v>938</v>
      </c>
      <c r="N131" s="168">
        <v>2684371830</v>
      </c>
      <c r="O131" s="186">
        <f t="shared" si="20"/>
        <v>0</v>
      </c>
      <c r="P131" s="165"/>
    </row>
    <row r="132" spans="1:16" s="169" customFormat="1" x14ac:dyDescent="0.35">
      <c r="A132" s="204">
        <v>24</v>
      </c>
      <c r="B132" s="161" t="s">
        <v>490</v>
      </c>
      <c r="C132" s="160" t="s">
        <v>479</v>
      </c>
      <c r="D132" s="175">
        <v>45775</v>
      </c>
      <c r="E132" s="175">
        <v>45776</v>
      </c>
      <c r="F132" s="164" t="s">
        <v>491</v>
      </c>
      <c r="G132" s="183">
        <v>4516048424</v>
      </c>
      <c r="H132" s="162">
        <v>45719</v>
      </c>
      <c r="I132" s="176">
        <v>471750000</v>
      </c>
      <c r="J132" s="166">
        <v>425000000</v>
      </c>
      <c r="K132" s="166">
        <f t="shared" si="18"/>
        <v>46750000</v>
      </c>
      <c r="L132" s="167">
        <f t="shared" si="19"/>
        <v>471750000</v>
      </c>
      <c r="M132" s="160" t="s">
        <v>1157</v>
      </c>
      <c r="N132" s="168">
        <v>471750000</v>
      </c>
      <c r="O132" s="186">
        <f t="shared" si="20"/>
        <v>0</v>
      </c>
      <c r="P132" s="165"/>
    </row>
    <row r="133" spans="1:16" s="169" customFormat="1" ht="84" x14ac:dyDescent="0.35">
      <c r="A133" s="193">
        <v>25</v>
      </c>
      <c r="B133" s="161" t="s">
        <v>492</v>
      </c>
      <c r="C133" s="142" t="s">
        <v>480</v>
      </c>
      <c r="D133" s="175">
        <v>45775</v>
      </c>
      <c r="E133" s="175">
        <v>45776</v>
      </c>
      <c r="F133" s="164" t="s">
        <v>493</v>
      </c>
      <c r="G133" s="183">
        <v>4515687061</v>
      </c>
      <c r="H133" s="162">
        <v>45575</v>
      </c>
      <c r="I133" s="176">
        <v>1699683800</v>
      </c>
      <c r="J133" s="166">
        <v>1127913333</v>
      </c>
      <c r="K133" s="166">
        <f t="shared" si="18"/>
        <v>124070466.63</v>
      </c>
      <c r="L133" s="167">
        <f t="shared" si="19"/>
        <v>1251983799.6300001</v>
      </c>
      <c r="M133" s="160" t="s">
        <v>938</v>
      </c>
      <c r="N133" s="168">
        <v>1250783800</v>
      </c>
      <c r="O133" s="186">
        <f t="shared" si="20"/>
        <v>1199999.6300001144</v>
      </c>
      <c r="P133" s="165" t="s">
        <v>939</v>
      </c>
    </row>
    <row r="134" spans="1:16" s="17" customFormat="1" ht="48" x14ac:dyDescent="0.35">
      <c r="A134" s="89">
        <v>26</v>
      </c>
      <c r="B134" s="101" t="s">
        <v>494</v>
      </c>
      <c r="C134" s="99" t="s">
        <v>498</v>
      </c>
      <c r="D134" s="90">
        <v>45761</v>
      </c>
      <c r="E134" s="90">
        <v>45792</v>
      </c>
      <c r="F134" s="91" t="s">
        <v>496</v>
      </c>
      <c r="G134" s="91" t="s">
        <v>495</v>
      </c>
      <c r="H134" s="102">
        <v>45547</v>
      </c>
      <c r="I134" s="94">
        <v>222000000</v>
      </c>
      <c r="J134" s="94">
        <v>38000000</v>
      </c>
      <c r="K134" s="94">
        <f t="shared" si="18"/>
        <v>4180000</v>
      </c>
      <c r="L134" s="103">
        <f t="shared" si="19"/>
        <v>42180000</v>
      </c>
      <c r="M134" s="99"/>
      <c r="N134" s="100"/>
      <c r="O134" s="112">
        <f t="shared" si="20"/>
        <v>42180000</v>
      </c>
      <c r="P134" s="92"/>
    </row>
    <row r="135" spans="1:16" s="17" customFormat="1" ht="48" x14ac:dyDescent="0.35">
      <c r="A135" s="89">
        <v>27</v>
      </c>
      <c r="B135" s="101" t="s">
        <v>494</v>
      </c>
      <c r="C135" s="99" t="s">
        <v>499</v>
      </c>
      <c r="D135" s="90">
        <v>45772</v>
      </c>
      <c r="E135" s="90">
        <v>45799</v>
      </c>
      <c r="F135" s="91" t="s">
        <v>497</v>
      </c>
      <c r="G135" s="91" t="s">
        <v>495</v>
      </c>
      <c r="H135" s="102">
        <v>45547</v>
      </c>
      <c r="I135" s="94">
        <v>222000000</v>
      </c>
      <c r="J135" s="94">
        <v>10000000</v>
      </c>
      <c r="K135" s="94">
        <f t="shared" si="18"/>
        <v>1100000</v>
      </c>
      <c r="L135" s="103">
        <f t="shared" si="19"/>
        <v>11100000</v>
      </c>
      <c r="M135" s="99"/>
      <c r="N135" s="100"/>
      <c r="O135" s="112">
        <f t="shared" si="20"/>
        <v>11100000</v>
      </c>
      <c r="P135" s="92"/>
    </row>
    <row r="136" spans="1:16" s="17" customFormat="1" ht="30.75" customHeight="1" x14ac:dyDescent="0.35">
      <c r="A136" s="275" t="s">
        <v>35</v>
      </c>
      <c r="B136" s="275"/>
      <c r="C136" s="275"/>
      <c r="D136" s="275"/>
      <c r="E136" s="275"/>
      <c r="F136" s="275"/>
      <c r="G136" s="275"/>
      <c r="H136" s="275"/>
      <c r="I136" s="47">
        <f>SUM(I109:I135)</f>
        <v>31151435002</v>
      </c>
      <c r="J136" s="47">
        <f>SUM(J109:J135)</f>
        <v>14957639062</v>
      </c>
      <c r="K136" s="47">
        <f>SUM(K109:K135)</f>
        <v>1645340296.8200002</v>
      </c>
      <c r="L136" s="48">
        <f>SUM(L109:L135)</f>
        <v>16602979358.82</v>
      </c>
      <c r="M136" s="46"/>
      <c r="N136" s="47">
        <f>SUM(N109:N135)</f>
        <v>16449868648</v>
      </c>
      <c r="O136" s="49">
        <f>SUM(O109:O135)</f>
        <v>153110710.8200005</v>
      </c>
      <c r="P136" s="149"/>
    </row>
    <row r="137" spans="1:16" s="17" customFormat="1" ht="30.75" customHeight="1" x14ac:dyDescent="0.35">
      <c r="A137" s="70"/>
      <c r="B137" s="70"/>
      <c r="C137" s="70"/>
      <c r="D137" s="70"/>
      <c r="E137" s="70"/>
      <c r="F137" s="70"/>
      <c r="G137" s="70"/>
      <c r="H137" s="70"/>
      <c r="I137" s="71"/>
      <c r="J137" s="71"/>
      <c r="K137" s="71"/>
      <c r="L137" s="72"/>
      <c r="M137" s="73"/>
      <c r="N137" s="71"/>
      <c r="O137" s="74"/>
      <c r="P137" s="152"/>
    </row>
    <row r="138" spans="1:16" s="17" customFormat="1" x14ac:dyDescent="0.35">
      <c r="A138" s="32">
        <v>1</v>
      </c>
      <c r="B138" s="31" t="s">
        <v>198</v>
      </c>
      <c r="C138" s="108" t="s">
        <v>500</v>
      </c>
      <c r="D138" s="33">
        <v>45784</v>
      </c>
      <c r="E138" s="29">
        <v>45786</v>
      </c>
      <c r="F138" s="34" t="s">
        <v>1100</v>
      </c>
      <c r="G138" s="41" t="s">
        <v>200</v>
      </c>
      <c r="H138" s="29">
        <v>45656</v>
      </c>
      <c r="I138" s="42">
        <v>41292000</v>
      </c>
      <c r="J138" s="42">
        <v>10800000</v>
      </c>
      <c r="K138" s="42">
        <f>J138*11%</f>
        <v>1188000</v>
      </c>
      <c r="L138" s="44">
        <f>J138+K138</f>
        <v>11988000</v>
      </c>
      <c r="M138" s="32" t="s">
        <v>749</v>
      </c>
      <c r="N138" s="38">
        <v>11772000</v>
      </c>
      <c r="O138" s="44">
        <f>L138-N138</f>
        <v>216000</v>
      </c>
      <c r="P138" s="41" t="s">
        <v>206</v>
      </c>
    </row>
    <row r="139" spans="1:16" s="17" customFormat="1" ht="24" x14ac:dyDescent="0.35">
      <c r="A139" s="32">
        <v>2</v>
      </c>
      <c r="B139" s="34" t="s">
        <v>141</v>
      </c>
      <c r="C139" s="108" t="s">
        <v>501</v>
      </c>
      <c r="D139" s="33">
        <v>45784</v>
      </c>
      <c r="E139" s="29">
        <v>45785</v>
      </c>
      <c r="F139" s="43" t="s">
        <v>502</v>
      </c>
      <c r="G139" s="45" t="s">
        <v>142</v>
      </c>
      <c r="H139" s="36">
        <v>45558</v>
      </c>
      <c r="I139" s="37">
        <v>44400000</v>
      </c>
      <c r="J139" s="37">
        <v>10000000</v>
      </c>
      <c r="K139" s="42">
        <f t="shared" ref="K139:K164" si="24">J139*11%</f>
        <v>1100000</v>
      </c>
      <c r="L139" s="44">
        <f t="shared" ref="L139:L164" si="25">J139+K139</f>
        <v>11100000</v>
      </c>
      <c r="M139" s="82" t="s">
        <v>693</v>
      </c>
      <c r="N139" s="44">
        <v>10900000</v>
      </c>
      <c r="O139" s="44">
        <f t="shared" ref="O139:O164" si="26">L139-N139</f>
        <v>200000</v>
      </c>
      <c r="P139" s="41" t="s">
        <v>206</v>
      </c>
    </row>
    <row r="140" spans="1:16" s="169" customFormat="1" ht="84" x14ac:dyDescent="0.35">
      <c r="A140" s="160">
        <v>3</v>
      </c>
      <c r="B140" s="161" t="s">
        <v>312</v>
      </c>
      <c r="C140" s="142" t="s">
        <v>505</v>
      </c>
      <c r="D140" s="215">
        <v>45784</v>
      </c>
      <c r="E140" s="163">
        <v>45785</v>
      </c>
      <c r="F140" s="164" t="s">
        <v>503</v>
      </c>
      <c r="G140" s="165" t="s">
        <v>313</v>
      </c>
      <c r="H140" s="162">
        <v>45729</v>
      </c>
      <c r="I140" s="166">
        <v>410266091</v>
      </c>
      <c r="J140" s="176">
        <v>147843637</v>
      </c>
      <c r="K140" s="166">
        <f t="shared" si="24"/>
        <v>16262800.07</v>
      </c>
      <c r="L140" s="167">
        <f t="shared" si="25"/>
        <v>164106437.06999999</v>
      </c>
      <c r="M140" s="172" t="s">
        <v>1111</v>
      </c>
      <c r="N140" s="167">
        <v>164007363</v>
      </c>
      <c r="O140" s="167">
        <f t="shared" si="26"/>
        <v>99074.069999992847</v>
      </c>
      <c r="P140" s="165" t="s">
        <v>1114</v>
      </c>
    </row>
    <row r="141" spans="1:16" s="17" customFormat="1" ht="24" x14ac:dyDescent="0.35">
      <c r="A141" s="32">
        <v>4</v>
      </c>
      <c r="B141" s="45" t="s">
        <v>504</v>
      </c>
      <c r="C141" s="108" t="s">
        <v>506</v>
      </c>
      <c r="D141" s="33">
        <v>45784</v>
      </c>
      <c r="E141" s="29">
        <v>45785</v>
      </c>
      <c r="F141" s="34" t="s">
        <v>507</v>
      </c>
      <c r="G141" s="41" t="s">
        <v>508</v>
      </c>
      <c r="H141" s="28">
        <v>45762</v>
      </c>
      <c r="I141" s="37">
        <v>35520000</v>
      </c>
      <c r="J141" s="37">
        <v>8000000</v>
      </c>
      <c r="K141" s="42">
        <f t="shared" si="24"/>
        <v>880000</v>
      </c>
      <c r="L141" s="44">
        <f t="shared" si="25"/>
        <v>8880000</v>
      </c>
      <c r="M141" s="82" t="s">
        <v>529</v>
      </c>
      <c r="N141" s="44">
        <v>8720000</v>
      </c>
      <c r="O141" s="44">
        <f t="shared" si="26"/>
        <v>160000</v>
      </c>
      <c r="P141" s="41" t="s">
        <v>206</v>
      </c>
    </row>
    <row r="142" spans="1:16" s="17" customFormat="1" ht="24" x14ac:dyDescent="0.35">
      <c r="A142" s="32">
        <v>5</v>
      </c>
      <c r="B142" s="31" t="s">
        <v>269</v>
      </c>
      <c r="C142" s="142" t="s">
        <v>509</v>
      </c>
      <c r="D142" s="33">
        <v>45784</v>
      </c>
      <c r="E142" s="29">
        <v>45786</v>
      </c>
      <c r="F142" s="59" t="s">
        <v>510</v>
      </c>
      <c r="G142" s="41">
        <v>941333072</v>
      </c>
      <c r="H142" s="28">
        <v>45408</v>
      </c>
      <c r="I142" s="42">
        <v>486069000</v>
      </c>
      <c r="J142" s="37">
        <v>87580000</v>
      </c>
      <c r="K142" s="42">
        <f t="shared" si="24"/>
        <v>9633800</v>
      </c>
      <c r="L142" s="44">
        <f t="shared" si="25"/>
        <v>97213800</v>
      </c>
      <c r="M142" s="82" t="s">
        <v>751</v>
      </c>
      <c r="N142" s="44">
        <v>95681150</v>
      </c>
      <c r="O142" s="44">
        <f t="shared" si="26"/>
        <v>1532650</v>
      </c>
      <c r="P142" s="41" t="s">
        <v>354</v>
      </c>
    </row>
    <row r="143" spans="1:16" s="17" customFormat="1" x14ac:dyDescent="0.35">
      <c r="A143" s="32">
        <v>6</v>
      </c>
      <c r="B143" s="31" t="s">
        <v>308</v>
      </c>
      <c r="C143" s="32" t="s">
        <v>516</v>
      </c>
      <c r="D143" s="28">
        <v>45786</v>
      </c>
      <c r="E143" s="146">
        <v>45792</v>
      </c>
      <c r="F143" s="31" t="s">
        <v>520</v>
      </c>
      <c r="G143" s="41" t="s">
        <v>521</v>
      </c>
      <c r="H143" s="28">
        <v>45740</v>
      </c>
      <c r="I143" s="42">
        <v>38850000</v>
      </c>
      <c r="J143" s="37">
        <v>35000000</v>
      </c>
      <c r="K143" s="42">
        <f t="shared" si="24"/>
        <v>3850000</v>
      </c>
      <c r="L143" s="44">
        <f t="shared" si="25"/>
        <v>38850000</v>
      </c>
      <c r="M143" s="82" t="s">
        <v>656</v>
      </c>
      <c r="N143" s="44">
        <v>38850000</v>
      </c>
      <c r="O143" s="44">
        <f t="shared" si="26"/>
        <v>0</v>
      </c>
      <c r="P143" s="41"/>
    </row>
    <row r="144" spans="1:16" s="169" customFormat="1" x14ac:dyDescent="0.35">
      <c r="A144" s="160">
        <v>7</v>
      </c>
      <c r="B144" s="173" t="s">
        <v>153</v>
      </c>
      <c r="C144" s="108" t="s">
        <v>517</v>
      </c>
      <c r="D144" s="162">
        <v>45786</v>
      </c>
      <c r="E144" s="187">
        <v>45792</v>
      </c>
      <c r="F144" s="164" t="s">
        <v>522</v>
      </c>
      <c r="G144" s="183" t="s">
        <v>155</v>
      </c>
      <c r="H144" s="162">
        <v>45638</v>
      </c>
      <c r="I144" s="176">
        <v>97680000</v>
      </c>
      <c r="J144" s="166">
        <v>22000000</v>
      </c>
      <c r="K144" s="166">
        <f t="shared" si="24"/>
        <v>2420000</v>
      </c>
      <c r="L144" s="167">
        <f t="shared" si="25"/>
        <v>24420000</v>
      </c>
      <c r="M144" s="172" t="s">
        <v>862</v>
      </c>
      <c r="N144" s="167">
        <v>23980000</v>
      </c>
      <c r="O144" s="167">
        <f t="shared" si="26"/>
        <v>440000</v>
      </c>
      <c r="P144" s="165" t="s">
        <v>206</v>
      </c>
    </row>
    <row r="145" spans="1:16" s="17" customFormat="1" ht="36" x14ac:dyDescent="0.35">
      <c r="A145" s="32">
        <v>8</v>
      </c>
      <c r="B145" s="31" t="s">
        <v>523</v>
      </c>
      <c r="C145" s="142" t="s">
        <v>518</v>
      </c>
      <c r="D145" s="28">
        <v>45786</v>
      </c>
      <c r="E145" s="146">
        <v>45792</v>
      </c>
      <c r="F145" s="34" t="s">
        <v>524</v>
      </c>
      <c r="G145" s="41" t="s">
        <v>525</v>
      </c>
      <c r="H145" s="29">
        <v>45688</v>
      </c>
      <c r="I145" s="42">
        <v>159840000</v>
      </c>
      <c r="J145" s="42">
        <v>108000000</v>
      </c>
      <c r="K145" s="42">
        <f t="shared" si="24"/>
        <v>11880000</v>
      </c>
      <c r="L145" s="44">
        <f t="shared" si="25"/>
        <v>119880000</v>
      </c>
      <c r="M145" s="82" t="s">
        <v>750</v>
      </c>
      <c r="N145" s="44">
        <v>117720000</v>
      </c>
      <c r="O145" s="44">
        <f t="shared" si="26"/>
        <v>2160000</v>
      </c>
      <c r="P145" s="41" t="s">
        <v>206</v>
      </c>
    </row>
    <row r="146" spans="1:16" s="17" customFormat="1" x14ac:dyDescent="0.35">
      <c r="A146" s="32">
        <v>9</v>
      </c>
      <c r="B146" s="31" t="s">
        <v>526</v>
      </c>
      <c r="C146" s="32" t="s">
        <v>519</v>
      </c>
      <c r="D146" s="146">
        <v>45792</v>
      </c>
      <c r="E146" s="146">
        <v>45792</v>
      </c>
      <c r="F146" s="58" t="s">
        <v>527</v>
      </c>
      <c r="G146" s="41" t="s">
        <v>528</v>
      </c>
      <c r="H146" s="28">
        <v>45680</v>
      </c>
      <c r="I146" s="42">
        <v>483960000</v>
      </c>
      <c r="J146" s="42">
        <v>130800000</v>
      </c>
      <c r="K146" s="42">
        <f t="shared" si="24"/>
        <v>14388000</v>
      </c>
      <c r="L146" s="44">
        <f t="shared" si="25"/>
        <v>145188000</v>
      </c>
      <c r="M146" s="82" t="s">
        <v>538</v>
      </c>
      <c r="N146" s="44">
        <v>145188000</v>
      </c>
      <c r="O146" s="44">
        <f t="shared" si="26"/>
        <v>0</v>
      </c>
      <c r="P146" s="41"/>
    </row>
    <row r="147" spans="1:16" s="17" customFormat="1" ht="36" x14ac:dyDescent="0.35">
      <c r="A147" s="32">
        <v>10</v>
      </c>
      <c r="B147" s="31" t="s">
        <v>540</v>
      </c>
      <c r="C147" s="142" t="s">
        <v>541</v>
      </c>
      <c r="D147" s="28">
        <v>45792</v>
      </c>
      <c r="E147" s="146">
        <v>45796</v>
      </c>
      <c r="F147" s="56" t="s">
        <v>549</v>
      </c>
      <c r="G147" s="41">
        <v>4110004052</v>
      </c>
      <c r="H147" s="29">
        <v>45503</v>
      </c>
      <c r="I147" s="42">
        <v>1767120000</v>
      </c>
      <c r="J147" s="42">
        <v>398000000</v>
      </c>
      <c r="K147" s="42">
        <f t="shared" si="24"/>
        <v>43780000</v>
      </c>
      <c r="L147" s="44">
        <f t="shared" si="25"/>
        <v>441780000</v>
      </c>
      <c r="M147" s="82" t="s">
        <v>753</v>
      </c>
      <c r="N147" s="44">
        <v>391032100</v>
      </c>
      <c r="O147" s="44">
        <f t="shared" si="26"/>
        <v>50747900</v>
      </c>
      <c r="P147" s="41" t="s">
        <v>755</v>
      </c>
    </row>
    <row r="148" spans="1:16" s="169" customFormat="1" x14ac:dyDescent="0.35">
      <c r="A148" s="160">
        <v>11</v>
      </c>
      <c r="B148" s="161" t="s">
        <v>76</v>
      </c>
      <c r="C148" s="142" t="s">
        <v>542</v>
      </c>
      <c r="D148" s="170">
        <v>45796</v>
      </c>
      <c r="E148" s="170">
        <v>45798</v>
      </c>
      <c r="F148" s="171" t="s">
        <v>550</v>
      </c>
      <c r="G148" s="165" t="s">
        <v>66</v>
      </c>
      <c r="H148" s="162">
        <v>45659</v>
      </c>
      <c r="I148" s="166">
        <v>38435415</v>
      </c>
      <c r="J148" s="166">
        <v>24238550</v>
      </c>
      <c r="K148" s="166">
        <v>2666240</v>
      </c>
      <c r="L148" s="167">
        <f t="shared" si="25"/>
        <v>26904790</v>
      </c>
      <c r="M148" s="249" t="s">
        <v>876</v>
      </c>
      <c r="N148" s="249">
        <v>841795035</v>
      </c>
      <c r="O148" s="249">
        <f>L148+L149+L150+L151+L152+L153-N148</f>
        <v>1240531.7200000286</v>
      </c>
      <c r="P148" s="165" t="s">
        <v>973</v>
      </c>
    </row>
    <row r="149" spans="1:16" s="169" customFormat="1" x14ac:dyDescent="0.35">
      <c r="A149" s="160">
        <v>12</v>
      </c>
      <c r="B149" s="161" t="s">
        <v>76</v>
      </c>
      <c r="C149" s="142" t="s">
        <v>543</v>
      </c>
      <c r="D149" s="170">
        <v>45796</v>
      </c>
      <c r="E149" s="170">
        <v>45798</v>
      </c>
      <c r="F149" s="171" t="s">
        <v>551</v>
      </c>
      <c r="G149" s="165" t="s">
        <v>552</v>
      </c>
      <c r="H149" s="162">
        <v>45618</v>
      </c>
      <c r="I149" s="166">
        <v>389610000</v>
      </c>
      <c r="J149" s="166">
        <v>245700000</v>
      </c>
      <c r="K149" s="166">
        <f t="shared" si="24"/>
        <v>27027000</v>
      </c>
      <c r="L149" s="167">
        <f t="shared" si="25"/>
        <v>272727000</v>
      </c>
      <c r="M149" s="250"/>
      <c r="N149" s="250"/>
      <c r="O149" s="250"/>
      <c r="P149" s="165" t="s">
        <v>974</v>
      </c>
    </row>
    <row r="150" spans="1:16" s="169" customFormat="1" x14ac:dyDescent="0.35">
      <c r="A150" s="160">
        <v>13</v>
      </c>
      <c r="B150" s="161" t="s">
        <v>72</v>
      </c>
      <c r="C150" s="142" t="s">
        <v>544</v>
      </c>
      <c r="D150" s="170">
        <v>45796</v>
      </c>
      <c r="E150" s="170">
        <v>45798</v>
      </c>
      <c r="F150" s="171" t="s">
        <v>553</v>
      </c>
      <c r="G150" s="165" t="s">
        <v>61</v>
      </c>
      <c r="H150" s="162">
        <v>45659</v>
      </c>
      <c r="I150" s="166">
        <v>27927600</v>
      </c>
      <c r="J150" s="166">
        <v>17612000</v>
      </c>
      <c r="K150" s="166">
        <f t="shared" si="24"/>
        <v>1937320</v>
      </c>
      <c r="L150" s="167">
        <f t="shared" si="25"/>
        <v>19549320</v>
      </c>
      <c r="M150" s="250"/>
      <c r="N150" s="250"/>
      <c r="O150" s="250"/>
      <c r="P150" s="165" t="s">
        <v>975</v>
      </c>
    </row>
    <row r="151" spans="1:16" s="169" customFormat="1" x14ac:dyDescent="0.35">
      <c r="A151" s="160">
        <v>14</v>
      </c>
      <c r="B151" s="161" t="s">
        <v>72</v>
      </c>
      <c r="C151" s="142" t="s">
        <v>545</v>
      </c>
      <c r="D151" s="170">
        <v>45796</v>
      </c>
      <c r="E151" s="170">
        <v>45798</v>
      </c>
      <c r="F151" s="171" t="s">
        <v>551</v>
      </c>
      <c r="G151" s="165" t="s">
        <v>554</v>
      </c>
      <c r="H151" s="162">
        <v>45618</v>
      </c>
      <c r="I151" s="166">
        <v>389610000</v>
      </c>
      <c r="J151" s="166">
        <v>245700000</v>
      </c>
      <c r="K151" s="166">
        <f t="shared" si="24"/>
        <v>27027000</v>
      </c>
      <c r="L151" s="167">
        <f t="shared" si="25"/>
        <v>272727000</v>
      </c>
      <c r="M151" s="250"/>
      <c r="N151" s="250"/>
      <c r="O151" s="250"/>
      <c r="P151" s="165" t="s">
        <v>974</v>
      </c>
    </row>
    <row r="152" spans="1:16" s="169" customFormat="1" x14ac:dyDescent="0.35">
      <c r="A152" s="160">
        <v>15</v>
      </c>
      <c r="B152" s="161" t="s">
        <v>59</v>
      </c>
      <c r="C152" s="142" t="s">
        <v>546</v>
      </c>
      <c r="D152" s="170">
        <v>45796</v>
      </c>
      <c r="E152" s="170">
        <v>45798</v>
      </c>
      <c r="F152" s="171" t="s">
        <v>555</v>
      </c>
      <c r="G152" s="165" t="s">
        <v>556</v>
      </c>
      <c r="H152" s="162">
        <v>45618</v>
      </c>
      <c r="I152" s="166">
        <v>260295000</v>
      </c>
      <c r="J152" s="166">
        <v>164150000</v>
      </c>
      <c r="K152" s="166">
        <f t="shared" si="24"/>
        <v>18056500</v>
      </c>
      <c r="L152" s="167">
        <f t="shared" si="25"/>
        <v>182206500</v>
      </c>
      <c r="M152" s="250"/>
      <c r="N152" s="250"/>
      <c r="O152" s="250"/>
      <c r="P152" s="165" t="s">
        <v>976</v>
      </c>
    </row>
    <row r="153" spans="1:16" s="169" customFormat="1" x14ac:dyDescent="0.35">
      <c r="A153" s="160">
        <v>16</v>
      </c>
      <c r="B153" s="161" t="s">
        <v>59</v>
      </c>
      <c r="C153" s="142" t="s">
        <v>547</v>
      </c>
      <c r="D153" s="170">
        <v>45796</v>
      </c>
      <c r="E153" s="170">
        <v>45798</v>
      </c>
      <c r="F153" s="164" t="s">
        <v>557</v>
      </c>
      <c r="G153" s="165" t="s">
        <v>62</v>
      </c>
      <c r="H153" s="162">
        <v>45659</v>
      </c>
      <c r="I153" s="166">
        <v>98458509</v>
      </c>
      <c r="J153" s="166">
        <v>62090952</v>
      </c>
      <c r="K153" s="166">
        <f t="shared" ref="K153" si="27">J153*11%</f>
        <v>6830004.7199999997</v>
      </c>
      <c r="L153" s="167">
        <f t="shared" ref="L153" si="28">J153+K153</f>
        <v>68920956.719999999</v>
      </c>
      <c r="M153" s="251"/>
      <c r="N153" s="251"/>
      <c r="O153" s="251"/>
      <c r="P153" s="165" t="s">
        <v>977</v>
      </c>
    </row>
    <row r="154" spans="1:16" s="17" customFormat="1" x14ac:dyDescent="0.35">
      <c r="A154" s="32">
        <v>17</v>
      </c>
      <c r="B154" s="45" t="s">
        <v>44</v>
      </c>
      <c r="C154" s="142" t="s">
        <v>548</v>
      </c>
      <c r="D154" s="33">
        <v>45796</v>
      </c>
      <c r="E154" s="36">
        <v>45797</v>
      </c>
      <c r="F154" s="34" t="s">
        <v>935</v>
      </c>
      <c r="G154" s="41" t="s">
        <v>236</v>
      </c>
      <c r="H154" s="28">
        <v>45664</v>
      </c>
      <c r="I154" s="42">
        <v>809190000</v>
      </c>
      <c r="J154" s="42">
        <v>60750000</v>
      </c>
      <c r="K154" s="42">
        <f t="shared" si="24"/>
        <v>6682500</v>
      </c>
      <c r="L154" s="44">
        <f t="shared" si="25"/>
        <v>67432500</v>
      </c>
      <c r="M154" s="82" t="s">
        <v>751</v>
      </c>
      <c r="N154" s="44">
        <v>66217500</v>
      </c>
      <c r="O154" s="44">
        <f t="shared" si="26"/>
        <v>1215000</v>
      </c>
      <c r="P154" s="41" t="s">
        <v>206</v>
      </c>
    </row>
    <row r="155" spans="1:16" s="169" customFormat="1" ht="24" x14ac:dyDescent="0.35">
      <c r="A155" s="160">
        <v>18</v>
      </c>
      <c r="B155" s="161" t="s">
        <v>558</v>
      </c>
      <c r="C155" s="142" t="s">
        <v>559</v>
      </c>
      <c r="D155" s="170">
        <v>45798</v>
      </c>
      <c r="E155" s="170">
        <v>45805</v>
      </c>
      <c r="F155" s="171" t="s">
        <v>560</v>
      </c>
      <c r="G155" s="165" t="s">
        <v>561</v>
      </c>
      <c r="H155" s="162">
        <v>45784</v>
      </c>
      <c r="I155" s="166">
        <v>258491250</v>
      </c>
      <c r="J155" s="166">
        <v>77625000</v>
      </c>
      <c r="K155" s="166">
        <f t="shared" si="24"/>
        <v>8538750</v>
      </c>
      <c r="L155" s="167">
        <f t="shared" si="25"/>
        <v>86163750</v>
      </c>
      <c r="M155" s="172" t="s">
        <v>847</v>
      </c>
      <c r="N155" s="167">
        <v>84611250</v>
      </c>
      <c r="O155" s="167">
        <f t="shared" si="26"/>
        <v>1552500</v>
      </c>
      <c r="P155" s="165" t="s">
        <v>206</v>
      </c>
    </row>
    <row r="156" spans="1:16" s="17" customFormat="1" ht="48" x14ac:dyDescent="0.35">
      <c r="A156" s="32">
        <v>19</v>
      </c>
      <c r="B156" s="34" t="s">
        <v>126</v>
      </c>
      <c r="C156" s="142" t="s">
        <v>562</v>
      </c>
      <c r="D156" s="33">
        <v>45797</v>
      </c>
      <c r="E156" s="33">
        <v>45798</v>
      </c>
      <c r="F156" s="58" t="s">
        <v>563</v>
      </c>
      <c r="G156" s="41">
        <v>4110003260</v>
      </c>
      <c r="H156" s="28">
        <v>45327</v>
      </c>
      <c r="I156" s="42">
        <v>2788098000</v>
      </c>
      <c r="J156" s="42">
        <v>197000000</v>
      </c>
      <c r="K156" s="42">
        <f t="shared" si="24"/>
        <v>21670000</v>
      </c>
      <c r="L156" s="44">
        <f t="shared" si="25"/>
        <v>218670000</v>
      </c>
      <c r="M156" s="82" t="s">
        <v>753</v>
      </c>
      <c r="N156" s="44">
        <v>193552500</v>
      </c>
      <c r="O156" s="44">
        <f t="shared" si="26"/>
        <v>25117500</v>
      </c>
      <c r="P156" s="41" t="s">
        <v>754</v>
      </c>
    </row>
    <row r="157" spans="1:16" s="169" customFormat="1" x14ac:dyDescent="0.35">
      <c r="A157" s="160">
        <v>20</v>
      </c>
      <c r="B157" s="161" t="s">
        <v>77</v>
      </c>
      <c r="C157" s="160" t="s">
        <v>567</v>
      </c>
      <c r="D157" s="170">
        <v>45799</v>
      </c>
      <c r="E157" s="170">
        <v>45800</v>
      </c>
      <c r="F157" s="171" t="s">
        <v>573</v>
      </c>
      <c r="G157" s="165">
        <v>4515388396</v>
      </c>
      <c r="H157" s="162">
        <v>45490</v>
      </c>
      <c r="I157" s="166">
        <v>3444139926</v>
      </c>
      <c r="J157" s="166">
        <v>1580000000</v>
      </c>
      <c r="K157" s="166">
        <f t="shared" si="24"/>
        <v>173800000</v>
      </c>
      <c r="L157" s="167">
        <f t="shared" si="25"/>
        <v>1753800000</v>
      </c>
      <c r="M157" s="172" t="s">
        <v>938</v>
      </c>
      <c r="N157" s="167">
        <v>1753800000</v>
      </c>
      <c r="O157" s="167">
        <f t="shared" si="26"/>
        <v>0</v>
      </c>
      <c r="P157" s="165"/>
    </row>
    <row r="158" spans="1:16" s="169" customFormat="1" ht="36" x14ac:dyDescent="0.35">
      <c r="A158" s="160">
        <v>21</v>
      </c>
      <c r="B158" s="161" t="s">
        <v>77</v>
      </c>
      <c r="C158" s="142" t="s">
        <v>568</v>
      </c>
      <c r="D158" s="170">
        <v>45799</v>
      </c>
      <c r="E158" s="170">
        <v>45800</v>
      </c>
      <c r="F158" s="171" t="s">
        <v>574</v>
      </c>
      <c r="G158" s="165">
        <v>4515553453</v>
      </c>
      <c r="H158" s="162">
        <v>45490</v>
      </c>
      <c r="I158" s="166">
        <v>14980053840</v>
      </c>
      <c r="J158" s="166">
        <v>2478771200</v>
      </c>
      <c r="K158" s="166">
        <f t="shared" si="24"/>
        <v>272664832</v>
      </c>
      <c r="L158" s="167">
        <f t="shared" si="25"/>
        <v>2751436032</v>
      </c>
      <c r="M158" s="172" t="s">
        <v>938</v>
      </c>
      <c r="N158" s="167">
        <v>2701860608</v>
      </c>
      <c r="O158" s="167">
        <f t="shared" si="26"/>
        <v>49575424</v>
      </c>
      <c r="P158" s="165" t="s">
        <v>700</v>
      </c>
    </row>
    <row r="159" spans="1:16" s="169" customFormat="1" x14ac:dyDescent="0.35">
      <c r="A159" s="160">
        <v>22</v>
      </c>
      <c r="B159" s="161" t="s">
        <v>254</v>
      </c>
      <c r="C159" s="142" t="s">
        <v>569</v>
      </c>
      <c r="D159" s="205">
        <v>45799</v>
      </c>
      <c r="E159" s="205">
        <v>45800</v>
      </c>
      <c r="F159" s="171" t="s">
        <v>575</v>
      </c>
      <c r="G159" s="165">
        <v>4515986222</v>
      </c>
      <c r="H159" s="162">
        <v>45691</v>
      </c>
      <c r="I159" s="166">
        <v>1706070000</v>
      </c>
      <c r="J159" s="166">
        <v>1197000000</v>
      </c>
      <c r="K159" s="166">
        <f t="shared" si="24"/>
        <v>131670000</v>
      </c>
      <c r="L159" s="167">
        <f t="shared" si="25"/>
        <v>1328670000</v>
      </c>
      <c r="M159" s="249" t="s">
        <v>1157</v>
      </c>
      <c r="N159" s="249">
        <v>1988490000</v>
      </c>
      <c r="O159" s="249">
        <f>L159+L160-N159</f>
        <v>32820000</v>
      </c>
      <c r="P159" s="165" t="s">
        <v>701</v>
      </c>
    </row>
    <row r="160" spans="1:16" s="169" customFormat="1" ht="36" x14ac:dyDescent="0.35">
      <c r="A160" s="160">
        <v>23</v>
      </c>
      <c r="B160" s="161" t="s">
        <v>564</v>
      </c>
      <c r="C160" s="142" t="s">
        <v>570</v>
      </c>
      <c r="D160" s="205">
        <v>45799</v>
      </c>
      <c r="E160" s="205">
        <v>45800</v>
      </c>
      <c r="F160" s="171" t="s">
        <v>576</v>
      </c>
      <c r="G160" s="165">
        <v>4516092537</v>
      </c>
      <c r="H160" s="162">
        <v>45741</v>
      </c>
      <c r="I160" s="166">
        <v>692640000</v>
      </c>
      <c r="J160" s="166">
        <v>624000000</v>
      </c>
      <c r="K160" s="166">
        <f t="shared" si="24"/>
        <v>68640000</v>
      </c>
      <c r="L160" s="167">
        <f t="shared" si="25"/>
        <v>692640000</v>
      </c>
      <c r="M160" s="251"/>
      <c r="N160" s="251"/>
      <c r="O160" s="251"/>
      <c r="P160" s="165" t="s">
        <v>702</v>
      </c>
    </row>
    <row r="161" spans="1:16" s="169" customFormat="1" x14ac:dyDescent="0.35">
      <c r="A161" s="160">
        <v>24</v>
      </c>
      <c r="B161" s="161" t="s">
        <v>565</v>
      </c>
      <c r="C161" s="142" t="s">
        <v>571</v>
      </c>
      <c r="D161" s="170">
        <v>45799</v>
      </c>
      <c r="E161" s="170">
        <v>45800</v>
      </c>
      <c r="F161" s="171" t="s">
        <v>577</v>
      </c>
      <c r="G161" s="165">
        <v>4515793800</v>
      </c>
      <c r="H161" s="162">
        <v>45637</v>
      </c>
      <c r="I161" s="166">
        <v>209532612</v>
      </c>
      <c r="J161" s="166">
        <v>188768119</v>
      </c>
      <c r="K161" s="166">
        <f t="shared" si="24"/>
        <v>20764493.09</v>
      </c>
      <c r="L161" s="167">
        <f t="shared" si="25"/>
        <v>209532612.09</v>
      </c>
      <c r="M161" s="172" t="s">
        <v>938</v>
      </c>
      <c r="N161" s="167">
        <v>205757250</v>
      </c>
      <c r="O161" s="167">
        <f t="shared" si="26"/>
        <v>3775362.0900000036</v>
      </c>
      <c r="P161" s="165" t="s">
        <v>206</v>
      </c>
    </row>
    <row r="162" spans="1:16" s="17" customFormat="1" ht="24" x14ac:dyDescent="0.35">
      <c r="A162" s="32">
        <v>25</v>
      </c>
      <c r="B162" s="31" t="s">
        <v>566</v>
      </c>
      <c r="C162" s="142" t="s">
        <v>572</v>
      </c>
      <c r="D162" s="33">
        <v>45799</v>
      </c>
      <c r="E162" s="33">
        <v>45800</v>
      </c>
      <c r="F162" s="58" t="s">
        <v>578</v>
      </c>
      <c r="G162" s="41">
        <v>4110004276</v>
      </c>
      <c r="H162" s="28">
        <v>45534</v>
      </c>
      <c r="I162" s="42">
        <v>202297500</v>
      </c>
      <c r="J162" s="42">
        <v>170100000</v>
      </c>
      <c r="K162" s="42">
        <f t="shared" si="24"/>
        <v>18711000</v>
      </c>
      <c r="L162" s="44">
        <f t="shared" si="25"/>
        <v>188811000</v>
      </c>
      <c r="M162" s="82" t="s">
        <v>753</v>
      </c>
      <c r="N162" s="44">
        <v>167123250</v>
      </c>
      <c r="O162" s="44">
        <f t="shared" si="26"/>
        <v>21687750</v>
      </c>
      <c r="P162" s="41" t="s">
        <v>758</v>
      </c>
    </row>
    <row r="163" spans="1:16" s="169" customFormat="1" ht="36" x14ac:dyDescent="0.35">
      <c r="A163" s="160">
        <v>26</v>
      </c>
      <c r="B163" s="164" t="s">
        <v>585</v>
      </c>
      <c r="C163" s="142" t="s">
        <v>586</v>
      </c>
      <c r="D163" s="162">
        <v>45804</v>
      </c>
      <c r="E163" s="162">
        <v>45805</v>
      </c>
      <c r="F163" s="164" t="s">
        <v>588</v>
      </c>
      <c r="G163" s="165" t="s">
        <v>589</v>
      </c>
      <c r="H163" s="162">
        <v>45243</v>
      </c>
      <c r="I163" s="166">
        <v>912420000</v>
      </c>
      <c r="J163" s="166">
        <v>102750000</v>
      </c>
      <c r="K163" s="166">
        <f t="shared" si="24"/>
        <v>11302500</v>
      </c>
      <c r="L163" s="167">
        <f t="shared" si="25"/>
        <v>114052500</v>
      </c>
      <c r="M163" s="172" t="s">
        <v>848</v>
      </c>
      <c r="N163" s="167">
        <v>111997500</v>
      </c>
      <c r="O163" s="167">
        <f t="shared" si="26"/>
        <v>2055000</v>
      </c>
      <c r="P163" s="165" t="s">
        <v>206</v>
      </c>
    </row>
    <row r="164" spans="1:16" s="169" customFormat="1" ht="84" x14ac:dyDescent="0.35">
      <c r="A164" s="160">
        <v>27</v>
      </c>
      <c r="B164" s="164" t="s">
        <v>585</v>
      </c>
      <c r="C164" s="142" t="s">
        <v>587</v>
      </c>
      <c r="D164" s="162">
        <v>45804</v>
      </c>
      <c r="E164" s="162">
        <v>45805</v>
      </c>
      <c r="F164" s="164" t="s">
        <v>793</v>
      </c>
      <c r="G164" s="183" t="s">
        <v>590</v>
      </c>
      <c r="H164" s="162">
        <v>45827</v>
      </c>
      <c r="I164" s="176">
        <v>4107000000</v>
      </c>
      <c r="J164" s="166">
        <v>749217600</v>
      </c>
      <c r="K164" s="166">
        <f t="shared" si="24"/>
        <v>82413936</v>
      </c>
      <c r="L164" s="167">
        <f t="shared" si="25"/>
        <v>831631536</v>
      </c>
      <c r="M164" s="172" t="s">
        <v>966</v>
      </c>
      <c r="N164" s="167">
        <v>816647184</v>
      </c>
      <c r="O164" s="167">
        <f t="shared" si="26"/>
        <v>14984352</v>
      </c>
      <c r="P164" s="165" t="s">
        <v>206</v>
      </c>
    </row>
    <row r="165" spans="1:16" s="17" customFormat="1" ht="30.75" customHeight="1" x14ac:dyDescent="0.35">
      <c r="A165" s="273" t="s">
        <v>36</v>
      </c>
      <c r="B165" s="273"/>
      <c r="C165" s="273"/>
      <c r="D165" s="273"/>
      <c r="E165" s="273"/>
      <c r="F165" s="273"/>
      <c r="G165" s="273"/>
      <c r="H165" s="273"/>
      <c r="I165" s="47">
        <f>SUM(I138:I164)</f>
        <v>34879266743</v>
      </c>
      <c r="J165" s="47">
        <f>SUM(J138:J164)</f>
        <v>9143497058</v>
      </c>
      <c r="K165" s="47">
        <f>SUM(K138:K164)</f>
        <v>1005784675.88</v>
      </c>
      <c r="L165" s="48">
        <f>SUM(L138:L164)</f>
        <v>10149281733.880001</v>
      </c>
      <c r="M165" s="46"/>
      <c r="N165" s="47">
        <f>SUM(N138:N164)</f>
        <v>9939702690</v>
      </c>
      <c r="O165" s="47">
        <f>SUM(O138:O164)</f>
        <v>209579043.88000003</v>
      </c>
      <c r="P165" s="149"/>
    </row>
    <row r="166" spans="1:16" s="17" customFormat="1" ht="33.75" customHeight="1" x14ac:dyDescent="0.35">
      <c r="A166" s="51"/>
      <c r="B166" s="52"/>
      <c r="C166" s="51"/>
      <c r="D166" s="53"/>
      <c r="E166" s="51"/>
      <c r="F166" s="40"/>
      <c r="G166" s="51"/>
      <c r="H166" s="53"/>
      <c r="I166" s="54"/>
      <c r="J166" s="54"/>
      <c r="K166" s="54"/>
      <c r="L166" s="55"/>
      <c r="M166" s="51"/>
      <c r="N166" s="54"/>
      <c r="O166" s="51"/>
      <c r="P166" s="52"/>
    </row>
    <row r="167" spans="1:16" s="17" customFormat="1" ht="30" customHeight="1" x14ac:dyDescent="0.35">
      <c r="A167" s="32">
        <v>1</v>
      </c>
      <c r="B167" s="31" t="s">
        <v>591</v>
      </c>
      <c r="C167" s="142" t="s">
        <v>593</v>
      </c>
      <c r="D167" s="28">
        <v>45810</v>
      </c>
      <c r="E167" s="33">
        <v>45811</v>
      </c>
      <c r="F167" s="34" t="s">
        <v>592</v>
      </c>
      <c r="G167" s="35" t="s">
        <v>152</v>
      </c>
      <c r="H167" s="28">
        <v>45589</v>
      </c>
      <c r="I167" s="37">
        <v>21933600</v>
      </c>
      <c r="J167" s="42">
        <v>3293333</v>
      </c>
      <c r="K167" s="42">
        <f>J167*11%</f>
        <v>362266.63</v>
      </c>
      <c r="L167" s="44">
        <f>J167+K167</f>
        <v>3655599.63</v>
      </c>
      <c r="M167" s="32" t="s">
        <v>752</v>
      </c>
      <c r="N167" s="38">
        <v>3589733</v>
      </c>
      <c r="O167" s="44">
        <f>L167-N167</f>
        <v>65866.629999999888</v>
      </c>
      <c r="P167" s="41" t="s">
        <v>206</v>
      </c>
    </row>
    <row r="168" spans="1:16" s="17" customFormat="1" ht="24" x14ac:dyDescent="0.35">
      <c r="A168" s="32">
        <v>2</v>
      </c>
      <c r="B168" s="31" t="s">
        <v>141</v>
      </c>
      <c r="C168" s="142" t="s">
        <v>606</v>
      </c>
      <c r="D168" s="28">
        <v>45810</v>
      </c>
      <c r="E168" s="33">
        <v>45811</v>
      </c>
      <c r="F168" s="43" t="s">
        <v>602</v>
      </c>
      <c r="G168" s="45" t="s">
        <v>142</v>
      </c>
      <c r="H168" s="36">
        <v>45558</v>
      </c>
      <c r="I168" s="37">
        <v>44400000</v>
      </c>
      <c r="J168" s="37">
        <v>10000000</v>
      </c>
      <c r="K168" s="42">
        <f>J168*11%</f>
        <v>1100000</v>
      </c>
      <c r="L168" s="44">
        <f>J168+K168</f>
        <v>11100000</v>
      </c>
      <c r="M168" s="32" t="s">
        <v>693</v>
      </c>
      <c r="N168" s="38">
        <v>10900000</v>
      </c>
      <c r="O168" s="44">
        <f>L168-N168</f>
        <v>200000</v>
      </c>
      <c r="P168" s="41" t="s">
        <v>206</v>
      </c>
    </row>
    <row r="169" spans="1:16" s="169" customFormat="1" x14ac:dyDescent="0.35">
      <c r="A169" s="160">
        <v>3</v>
      </c>
      <c r="B169" s="161" t="s">
        <v>603</v>
      </c>
      <c r="C169" s="142" t="s">
        <v>594</v>
      </c>
      <c r="D169" s="162">
        <v>45810</v>
      </c>
      <c r="E169" s="170">
        <v>45811</v>
      </c>
      <c r="F169" s="161" t="s">
        <v>604</v>
      </c>
      <c r="G169" s="165" t="s">
        <v>605</v>
      </c>
      <c r="H169" s="162">
        <v>45783</v>
      </c>
      <c r="I169" s="166">
        <v>4440000</v>
      </c>
      <c r="J169" s="166">
        <v>4000000</v>
      </c>
      <c r="K169" s="166">
        <f t="shared" ref="K169:K193" si="29">J169*11%</f>
        <v>440000</v>
      </c>
      <c r="L169" s="167">
        <f t="shared" ref="L169:L196" si="30">J169+K169</f>
        <v>4440000</v>
      </c>
      <c r="M169" s="174" t="s">
        <v>757</v>
      </c>
      <c r="N169" s="177">
        <v>4360000</v>
      </c>
      <c r="O169" s="167">
        <f t="shared" ref="O169:O196" si="31">L169-N169</f>
        <v>80000</v>
      </c>
      <c r="P169" s="183" t="s">
        <v>206</v>
      </c>
    </row>
    <row r="170" spans="1:16" s="169" customFormat="1" ht="24" x14ac:dyDescent="0.35">
      <c r="A170" s="160">
        <v>4</v>
      </c>
      <c r="B170" s="161" t="s">
        <v>607</v>
      </c>
      <c r="C170" s="142" t="s">
        <v>595</v>
      </c>
      <c r="D170" s="162">
        <v>45810</v>
      </c>
      <c r="E170" s="170">
        <v>45811</v>
      </c>
      <c r="F170" s="164" t="s">
        <v>608</v>
      </c>
      <c r="G170" s="165" t="s">
        <v>609</v>
      </c>
      <c r="H170" s="162">
        <v>45785</v>
      </c>
      <c r="I170" s="166">
        <v>2518312</v>
      </c>
      <c r="J170" s="166">
        <v>2268750</v>
      </c>
      <c r="K170" s="166">
        <v>249562</v>
      </c>
      <c r="L170" s="167">
        <f t="shared" si="30"/>
        <v>2518312</v>
      </c>
      <c r="M170" s="160" t="s">
        <v>959</v>
      </c>
      <c r="N170" s="166">
        <v>2472937</v>
      </c>
      <c r="O170" s="167">
        <f t="shared" si="31"/>
        <v>45375</v>
      </c>
      <c r="P170" s="165" t="s">
        <v>206</v>
      </c>
    </row>
    <row r="171" spans="1:16" s="196" customFormat="1" ht="12" x14ac:dyDescent="0.35">
      <c r="A171" s="160">
        <v>5</v>
      </c>
      <c r="B171" s="173" t="s">
        <v>73</v>
      </c>
      <c r="C171" s="108" t="s">
        <v>596</v>
      </c>
      <c r="D171" s="162">
        <v>45810</v>
      </c>
      <c r="E171" s="170">
        <v>45811</v>
      </c>
      <c r="F171" s="164" t="s">
        <v>555</v>
      </c>
      <c r="G171" s="164" t="s">
        <v>610</v>
      </c>
      <c r="H171" s="163">
        <v>45618</v>
      </c>
      <c r="I171" s="176">
        <v>260295000</v>
      </c>
      <c r="J171" s="176">
        <v>164150000</v>
      </c>
      <c r="K171" s="166">
        <f t="shared" si="29"/>
        <v>18056500</v>
      </c>
      <c r="L171" s="167">
        <f t="shared" si="30"/>
        <v>182206500</v>
      </c>
      <c r="M171" s="252" t="s">
        <v>876</v>
      </c>
      <c r="N171" s="254">
        <v>393888495</v>
      </c>
      <c r="O171" s="249">
        <f>L171+L172+L173+L174-N171</f>
        <v>489510</v>
      </c>
      <c r="P171" s="183" t="s">
        <v>976</v>
      </c>
    </row>
    <row r="172" spans="1:16" s="169" customFormat="1" x14ac:dyDescent="0.35">
      <c r="A172" s="160">
        <v>6</v>
      </c>
      <c r="B172" s="173" t="s">
        <v>73</v>
      </c>
      <c r="C172" s="142" t="s">
        <v>597</v>
      </c>
      <c r="D172" s="162">
        <v>45810</v>
      </c>
      <c r="E172" s="170">
        <v>45811</v>
      </c>
      <c r="F172" s="164" t="s">
        <v>611</v>
      </c>
      <c r="G172" s="165" t="s">
        <v>63</v>
      </c>
      <c r="H172" s="162">
        <v>45659</v>
      </c>
      <c r="I172" s="166">
        <v>18653550</v>
      </c>
      <c r="J172" s="166">
        <v>11763500</v>
      </c>
      <c r="K172" s="166">
        <f t="shared" si="29"/>
        <v>1293985</v>
      </c>
      <c r="L172" s="167">
        <f t="shared" si="30"/>
        <v>13057485</v>
      </c>
      <c r="M172" s="256"/>
      <c r="N172" s="257"/>
      <c r="O172" s="250"/>
      <c r="P172" s="165" t="s">
        <v>978</v>
      </c>
    </row>
    <row r="173" spans="1:16" s="169" customFormat="1" x14ac:dyDescent="0.35">
      <c r="A173" s="160">
        <v>7</v>
      </c>
      <c r="B173" s="173" t="s">
        <v>75</v>
      </c>
      <c r="C173" s="108" t="s">
        <v>598</v>
      </c>
      <c r="D173" s="162">
        <v>45810</v>
      </c>
      <c r="E173" s="170">
        <v>45811</v>
      </c>
      <c r="F173" s="164" t="s">
        <v>555</v>
      </c>
      <c r="G173" s="165" t="s">
        <v>612</v>
      </c>
      <c r="H173" s="163">
        <v>45618</v>
      </c>
      <c r="I173" s="176">
        <v>260295000</v>
      </c>
      <c r="J173" s="166">
        <v>164150000</v>
      </c>
      <c r="K173" s="166">
        <f t="shared" si="29"/>
        <v>18056500</v>
      </c>
      <c r="L173" s="167">
        <f t="shared" si="30"/>
        <v>182206500</v>
      </c>
      <c r="M173" s="256"/>
      <c r="N173" s="257"/>
      <c r="O173" s="250"/>
      <c r="P173" s="165" t="s">
        <v>976</v>
      </c>
    </row>
    <row r="174" spans="1:16" s="169" customFormat="1" ht="15" customHeight="1" x14ac:dyDescent="0.35">
      <c r="A174" s="160">
        <v>8</v>
      </c>
      <c r="B174" s="173" t="s">
        <v>75</v>
      </c>
      <c r="C174" s="142" t="s">
        <v>599</v>
      </c>
      <c r="D174" s="162">
        <v>45810</v>
      </c>
      <c r="E174" s="170">
        <v>45811</v>
      </c>
      <c r="F174" s="171" t="s">
        <v>613</v>
      </c>
      <c r="G174" s="173" t="s">
        <v>65</v>
      </c>
      <c r="H174" s="170">
        <v>45659</v>
      </c>
      <c r="I174" s="176">
        <v>24153600</v>
      </c>
      <c r="J174" s="166">
        <v>15232000</v>
      </c>
      <c r="K174" s="166">
        <f t="shared" si="29"/>
        <v>1675520</v>
      </c>
      <c r="L174" s="167">
        <f t="shared" si="30"/>
        <v>16907520</v>
      </c>
      <c r="M174" s="253"/>
      <c r="N174" s="255"/>
      <c r="O174" s="251"/>
      <c r="P174" s="165" t="s">
        <v>979</v>
      </c>
    </row>
    <row r="175" spans="1:16" s="169" customFormat="1" x14ac:dyDescent="0.35">
      <c r="A175" s="160">
        <v>9</v>
      </c>
      <c r="B175" s="164" t="s">
        <v>123</v>
      </c>
      <c r="C175" s="142" t="s">
        <v>600</v>
      </c>
      <c r="D175" s="162">
        <v>45810</v>
      </c>
      <c r="E175" s="170">
        <v>45811</v>
      </c>
      <c r="F175" s="164" t="s">
        <v>614</v>
      </c>
      <c r="G175" s="165" t="s">
        <v>615</v>
      </c>
      <c r="H175" s="170">
        <v>45708</v>
      </c>
      <c r="I175" s="166">
        <v>16650000</v>
      </c>
      <c r="J175" s="176">
        <v>15000000</v>
      </c>
      <c r="K175" s="166">
        <f t="shared" si="29"/>
        <v>1650000</v>
      </c>
      <c r="L175" s="167">
        <f t="shared" si="30"/>
        <v>16650000</v>
      </c>
      <c r="M175" s="170" t="s">
        <v>726</v>
      </c>
      <c r="N175" s="177">
        <v>16387500</v>
      </c>
      <c r="O175" s="167">
        <f t="shared" si="31"/>
        <v>262500</v>
      </c>
      <c r="P175" s="178" t="s">
        <v>354</v>
      </c>
    </row>
    <row r="176" spans="1:16" s="169" customFormat="1" x14ac:dyDescent="0.35">
      <c r="A176" s="160">
        <v>10</v>
      </c>
      <c r="B176" s="185" t="s">
        <v>174</v>
      </c>
      <c r="C176" s="108" t="s">
        <v>601</v>
      </c>
      <c r="D176" s="162">
        <v>45810</v>
      </c>
      <c r="E176" s="170">
        <v>45811</v>
      </c>
      <c r="F176" s="164" t="s">
        <v>616</v>
      </c>
      <c r="G176" s="165" t="s">
        <v>617</v>
      </c>
      <c r="H176" s="170">
        <v>45735</v>
      </c>
      <c r="I176" s="166">
        <v>12210000</v>
      </c>
      <c r="J176" s="176">
        <v>11000000</v>
      </c>
      <c r="K176" s="166">
        <f t="shared" si="29"/>
        <v>1210000</v>
      </c>
      <c r="L176" s="167">
        <f t="shared" si="30"/>
        <v>12210000</v>
      </c>
      <c r="M176" s="163" t="s">
        <v>842</v>
      </c>
      <c r="N176" s="166">
        <v>11000000</v>
      </c>
      <c r="O176" s="167">
        <f t="shared" si="31"/>
        <v>1210000</v>
      </c>
      <c r="P176" s="178" t="s">
        <v>746</v>
      </c>
    </row>
    <row r="177" spans="1:16" s="169" customFormat="1" ht="24" x14ac:dyDescent="0.35">
      <c r="A177" s="160">
        <v>11</v>
      </c>
      <c r="B177" s="185" t="s">
        <v>618</v>
      </c>
      <c r="C177" s="108" t="s">
        <v>619</v>
      </c>
      <c r="D177" s="175">
        <v>45812</v>
      </c>
      <c r="E177" s="170">
        <v>45813</v>
      </c>
      <c r="F177" s="164" t="s">
        <v>620</v>
      </c>
      <c r="G177" s="165" t="s">
        <v>621</v>
      </c>
      <c r="H177" s="170">
        <v>45798</v>
      </c>
      <c r="I177" s="166">
        <v>5550000</v>
      </c>
      <c r="J177" s="176">
        <v>5000000</v>
      </c>
      <c r="K177" s="166">
        <f t="shared" si="29"/>
        <v>550000</v>
      </c>
      <c r="L177" s="167">
        <f t="shared" si="30"/>
        <v>5550000</v>
      </c>
      <c r="M177" s="163" t="s">
        <v>856</v>
      </c>
      <c r="N177" s="166">
        <v>5450000</v>
      </c>
      <c r="O177" s="167">
        <f t="shared" si="31"/>
        <v>100000</v>
      </c>
      <c r="P177" s="178" t="s">
        <v>206</v>
      </c>
    </row>
    <row r="178" spans="1:16" s="169" customFormat="1" x14ac:dyDescent="0.35">
      <c r="A178" s="160">
        <v>12</v>
      </c>
      <c r="B178" s="173" t="s">
        <v>207</v>
      </c>
      <c r="C178" s="108" t="s">
        <v>622</v>
      </c>
      <c r="D178" s="175">
        <v>45817</v>
      </c>
      <c r="E178" s="175">
        <v>45818</v>
      </c>
      <c r="F178" s="161" t="s">
        <v>623</v>
      </c>
      <c r="G178" s="165">
        <v>4800558289</v>
      </c>
      <c r="H178" s="162">
        <v>45544</v>
      </c>
      <c r="I178" s="166">
        <v>832500000</v>
      </c>
      <c r="J178" s="166">
        <v>187500000</v>
      </c>
      <c r="K178" s="166">
        <f t="shared" si="29"/>
        <v>20625000</v>
      </c>
      <c r="L178" s="167">
        <f t="shared" si="30"/>
        <v>208125000</v>
      </c>
      <c r="M178" s="170" t="s">
        <v>790</v>
      </c>
      <c r="N178" s="177">
        <v>204375000</v>
      </c>
      <c r="O178" s="167">
        <f t="shared" si="31"/>
        <v>3750000</v>
      </c>
      <c r="P178" s="178" t="s">
        <v>206</v>
      </c>
    </row>
    <row r="179" spans="1:16" s="169" customFormat="1" x14ac:dyDescent="0.35">
      <c r="A179" s="160">
        <v>13</v>
      </c>
      <c r="B179" s="173" t="s">
        <v>44</v>
      </c>
      <c r="C179" s="142" t="s">
        <v>635</v>
      </c>
      <c r="D179" s="170">
        <v>45821</v>
      </c>
      <c r="E179" s="175">
        <v>45821</v>
      </c>
      <c r="F179" s="164" t="s">
        <v>936</v>
      </c>
      <c r="G179" s="165" t="s">
        <v>236</v>
      </c>
      <c r="H179" s="162">
        <v>45664</v>
      </c>
      <c r="I179" s="166">
        <v>809190000</v>
      </c>
      <c r="J179" s="166">
        <v>60750000</v>
      </c>
      <c r="K179" s="166">
        <f t="shared" si="29"/>
        <v>6682500</v>
      </c>
      <c r="L179" s="167">
        <f t="shared" si="30"/>
        <v>67432500</v>
      </c>
      <c r="M179" s="170" t="s">
        <v>769</v>
      </c>
      <c r="N179" s="177">
        <v>66217500</v>
      </c>
      <c r="O179" s="167">
        <f t="shared" si="31"/>
        <v>1215000</v>
      </c>
      <c r="P179" s="178" t="s">
        <v>206</v>
      </c>
    </row>
    <row r="180" spans="1:16" s="17" customFormat="1" ht="24" x14ac:dyDescent="0.35">
      <c r="A180" s="32">
        <v>14</v>
      </c>
      <c r="B180" s="34" t="s">
        <v>145</v>
      </c>
      <c r="C180" s="32" t="s">
        <v>634</v>
      </c>
      <c r="D180" s="28">
        <v>45824</v>
      </c>
      <c r="E180" s="28">
        <v>45824</v>
      </c>
      <c r="F180" s="34" t="s">
        <v>636</v>
      </c>
      <c r="G180" s="35" t="s">
        <v>146</v>
      </c>
      <c r="H180" s="28">
        <v>45166</v>
      </c>
      <c r="I180" s="37">
        <v>6284642400</v>
      </c>
      <c r="J180" s="42">
        <v>235910000</v>
      </c>
      <c r="K180" s="42">
        <f t="shared" si="29"/>
        <v>25950100</v>
      </c>
      <c r="L180" s="44">
        <f t="shared" si="30"/>
        <v>261860100</v>
      </c>
      <c r="M180" s="33" t="s">
        <v>651</v>
      </c>
      <c r="N180" s="39">
        <v>261860100</v>
      </c>
      <c r="O180" s="44">
        <f t="shared" si="31"/>
        <v>0</v>
      </c>
      <c r="P180" s="110"/>
    </row>
    <row r="181" spans="1:16" s="17" customFormat="1" ht="28" customHeight="1" x14ac:dyDescent="0.35">
      <c r="A181" s="99">
        <v>15</v>
      </c>
      <c r="B181" s="101" t="s">
        <v>624</v>
      </c>
      <c r="C181" s="89" t="s">
        <v>625</v>
      </c>
      <c r="D181" s="90">
        <v>45820</v>
      </c>
      <c r="E181" s="102">
        <v>45820</v>
      </c>
      <c r="F181" s="91" t="s">
        <v>626</v>
      </c>
      <c r="G181" s="92" t="s">
        <v>627</v>
      </c>
      <c r="H181" s="93">
        <v>45810</v>
      </c>
      <c r="I181" s="94">
        <v>355200000</v>
      </c>
      <c r="J181" s="95">
        <v>320000000</v>
      </c>
      <c r="K181" s="94">
        <f t="shared" si="29"/>
        <v>35200000</v>
      </c>
      <c r="L181" s="103">
        <f t="shared" si="30"/>
        <v>355200000</v>
      </c>
      <c r="M181" s="98"/>
      <c r="N181" s="96"/>
      <c r="O181" s="103">
        <f t="shared" si="31"/>
        <v>355200000</v>
      </c>
      <c r="P181" s="153"/>
    </row>
    <row r="182" spans="1:16" s="169" customFormat="1" ht="24" x14ac:dyDescent="0.35">
      <c r="A182" s="160">
        <v>16</v>
      </c>
      <c r="B182" s="173" t="s">
        <v>637</v>
      </c>
      <c r="C182" s="174" t="s">
        <v>638</v>
      </c>
      <c r="D182" s="175">
        <v>45824</v>
      </c>
      <c r="E182" s="175">
        <v>45825</v>
      </c>
      <c r="F182" s="164" t="s">
        <v>639</v>
      </c>
      <c r="G182" s="165" t="s">
        <v>640</v>
      </c>
      <c r="H182" s="163">
        <v>45784</v>
      </c>
      <c r="I182" s="166">
        <v>177600000</v>
      </c>
      <c r="J182" s="176">
        <v>160000000</v>
      </c>
      <c r="K182" s="166">
        <f t="shared" si="29"/>
        <v>17600000</v>
      </c>
      <c r="L182" s="167">
        <f t="shared" si="30"/>
        <v>177600000</v>
      </c>
      <c r="M182" s="170" t="s">
        <v>759</v>
      </c>
      <c r="N182" s="177">
        <f>160000000+17600000</f>
        <v>177600000</v>
      </c>
      <c r="O182" s="167">
        <f t="shared" si="31"/>
        <v>0</v>
      </c>
      <c r="P182" s="178"/>
    </row>
    <row r="183" spans="1:16" s="17" customFormat="1" x14ac:dyDescent="0.3">
      <c r="A183" s="32">
        <v>17</v>
      </c>
      <c r="B183" s="31" t="s">
        <v>275</v>
      </c>
      <c r="C183" s="142" t="s">
        <v>641</v>
      </c>
      <c r="D183" s="33">
        <v>45825</v>
      </c>
      <c r="E183" s="33">
        <v>45826</v>
      </c>
      <c r="F183" s="143" t="s">
        <v>642</v>
      </c>
      <c r="G183" s="41" t="s">
        <v>278</v>
      </c>
      <c r="H183" s="28">
        <v>45701</v>
      </c>
      <c r="I183" s="42">
        <v>155400000</v>
      </c>
      <c r="J183" s="42">
        <v>24000000</v>
      </c>
      <c r="K183" s="42">
        <f t="shared" si="29"/>
        <v>2640000</v>
      </c>
      <c r="L183" s="44">
        <f t="shared" si="30"/>
        <v>26640000</v>
      </c>
      <c r="M183" s="33" t="s">
        <v>696</v>
      </c>
      <c r="N183" s="39">
        <v>23520000</v>
      </c>
      <c r="O183" s="44">
        <f t="shared" si="31"/>
        <v>3120000</v>
      </c>
      <c r="P183" s="110" t="s">
        <v>756</v>
      </c>
    </row>
    <row r="184" spans="1:16" s="169" customFormat="1" ht="24" x14ac:dyDescent="0.35">
      <c r="A184" s="160">
        <v>18</v>
      </c>
      <c r="B184" s="173" t="s">
        <v>643</v>
      </c>
      <c r="C184" s="108" t="s">
        <v>644</v>
      </c>
      <c r="D184" s="175">
        <v>45826</v>
      </c>
      <c r="E184" s="170">
        <v>45826</v>
      </c>
      <c r="F184" s="185" t="s">
        <v>645</v>
      </c>
      <c r="G184" s="183">
        <v>4110004417</v>
      </c>
      <c r="H184" s="175">
        <v>45938</v>
      </c>
      <c r="I184" s="176">
        <v>364500000</v>
      </c>
      <c r="J184" s="176">
        <v>329400000</v>
      </c>
      <c r="K184" s="166">
        <f t="shared" si="29"/>
        <v>36234000</v>
      </c>
      <c r="L184" s="167">
        <f t="shared" si="30"/>
        <v>365634000</v>
      </c>
      <c r="M184" s="170" t="s">
        <v>898</v>
      </c>
      <c r="N184" s="191">
        <v>323632600</v>
      </c>
      <c r="O184" s="167">
        <f t="shared" si="31"/>
        <v>42001400</v>
      </c>
      <c r="P184" s="178" t="s">
        <v>964</v>
      </c>
    </row>
    <row r="185" spans="1:16" s="169" customFormat="1" x14ac:dyDescent="0.35">
      <c r="A185" s="160">
        <v>19</v>
      </c>
      <c r="B185" s="164" t="s">
        <v>74</v>
      </c>
      <c r="C185" s="142" t="s">
        <v>646</v>
      </c>
      <c r="D185" s="175">
        <v>45826</v>
      </c>
      <c r="E185" s="170">
        <v>45827</v>
      </c>
      <c r="F185" s="164" t="s">
        <v>648</v>
      </c>
      <c r="G185" s="165" t="s">
        <v>649</v>
      </c>
      <c r="H185" s="162">
        <v>45618</v>
      </c>
      <c r="I185" s="166">
        <v>223665000</v>
      </c>
      <c r="J185" s="176">
        <v>141050000</v>
      </c>
      <c r="K185" s="166">
        <f t="shared" si="29"/>
        <v>15515500</v>
      </c>
      <c r="L185" s="167">
        <f t="shared" si="30"/>
        <v>156565500</v>
      </c>
      <c r="M185" s="258" t="s">
        <v>876</v>
      </c>
      <c r="N185" s="254">
        <v>169128173</v>
      </c>
      <c r="O185" s="249">
        <f>L185+L186-N185</f>
        <v>345239.5</v>
      </c>
      <c r="P185" s="178" t="s">
        <v>976</v>
      </c>
    </row>
    <row r="186" spans="1:16" s="169" customFormat="1" x14ac:dyDescent="0.35">
      <c r="A186" s="160">
        <v>20</v>
      </c>
      <c r="B186" s="164" t="s">
        <v>74</v>
      </c>
      <c r="C186" s="142" t="s">
        <v>647</v>
      </c>
      <c r="D186" s="175">
        <v>45826</v>
      </c>
      <c r="E186" s="170">
        <v>45827</v>
      </c>
      <c r="F186" s="164" t="s">
        <v>650</v>
      </c>
      <c r="G186" s="165" t="s">
        <v>64</v>
      </c>
      <c r="H186" s="163">
        <v>45659</v>
      </c>
      <c r="I186" s="166">
        <v>18439875</v>
      </c>
      <c r="J186" s="176">
        <v>11628750</v>
      </c>
      <c r="K186" s="166">
        <f t="shared" si="29"/>
        <v>1279162.5</v>
      </c>
      <c r="L186" s="167">
        <f t="shared" si="30"/>
        <v>12907912.5</v>
      </c>
      <c r="M186" s="260"/>
      <c r="N186" s="255"/>
      <c r="O186" s="251"/>
      <c r="P186" s="178" t="s">
        <v>980</v>
      </c>
    </row>
    <row r="187" spans="1:16" s="169" customFormat="1" x14ac:dyDescent="0.35">
      <c r="A187" s="160">
        <v>21</v>
      </c>
      <c r="B187" s="173" t="s">
        <v>652</v>
      </c>
      <c r="C187" s="142" t="s">
        <v>653</v>
      </c>
      <c r="D187" s="175">
        <v>45827</v>
      </c>
      <c r="E187" s="170">
        <v>45831</v>
      </c>
      <c r="F187" s="164" t="s">
        <v>654</v>
      </c>
      <c r="G187" s="165" t="s">
        <v>655</v>
      </c>
      <c r="H187" s="163">
        <v>45687</v>
      </c>
      <c r="I187" s="166">
        <v>79920000</v>
      </c>
      <c r="J187" s="176">
        <v>72000000</v>
      </c>
      <c r="K187" s="166">
        <f t="shared" si="29"/>
        <v>7920000</v>
      </c>
      <c r="L187" s="167">
        <f t="shared" si="30"/>
        <v>79920000</v>
      </c>
      <c r="M187" s="163" t="s">
        <v>963</v>
      </c>
      <c r="N187" s="191">
        <v>78480000</v>
      </c>
      <c r="O187" s="167">
        <f t="shared" si="31"/>
        <v>1440000</v>
      </c>
      <c r="P187" s="178" t="s">
        <v>206</v>
      </c>
    </row>
    <row r="188" spans="1:16" s="169" customFormat="1" x14ac:dyDescent="0.35">
      <c r="A188" s="160">
        <v>22</v>
      </c>
      <c r="B188" s="173" t="s">
        <v>657</v>
      </c>
      <c r="C188" s="160" t="s">
        <v>658</v>
      </c>
      <c r="D188" s="175">
        <v>45828</v>
      </c>
      <c r="E188" s="170">
        <v>45831</v>
      </c>
      <c r="F188" s="164" t="s">
        <v>660</v>
      </c>
      <c r="G188" s="165" t="s">
        <v>661</v>
      </c>
      <c r="H188" s="163">
        <v>45783</v>
      </c>
      <c r="I188" s="166">
        <v>173160000</v>
      </c>
      <c r="J188" s="176">
        <v>31200000</v>
      </c>
      <c r="K188" s="166">
        <f t="shared" si="29"/>
        <v>3432000</v>
      </c>
      <c r="L188" s="167">
        <f t="shared" si="30"/>
        <v>34632000</v>
      </c>
      <c r="M188" s="170" t="s">
        <v>856</v>
      </c>
      <c r="N188" s="177">
        <v>34629100</v>
      </c>
      <c r="O188" s="167">
        <f t="shared" si="31"/>
        <v>2900</v>
      </c>
      <c r="P188" s="178" t="s">
        <v>858</v>
      </c>
    </row>
    <row r="189" spans="1:16" s="169" customFormat="1" x14ac:dyDescent="0.35">
      <c r="A189" s="160">
        <v>23</v>
      </c>
      <c r="B189" s="173" t="s">
        <v>308</v>
      </c>
      <c r="C189" s="160" t="s">
        <v>659</v>
      </c>
      <c r="D189" s="175">
        <v>45828</v>
      </c>
      <c r="E189" s="215">
        <v>45832</v>
      </c>
      <c r="F189" s="164" t="s">
        <v>662</v>
      </c>
      <c r="G189" s="165" t="s">
        <v>663</v>
      </c>
      <c r="H189" s="163">
        <v>45757</v>
      </c>
      <c r="I189" s="166">
        <v>65212500</v>
      </c>
      <c r="J189" s="176">
        <v>58750000</v>
      </c>
      <c r="K189" s="166">
        <f t="shared" si="29"/>
        <v>6462500</v>
      </c>
      <c r="L189" s="167">
        <f t="shared" si="30"/>
        <v>65212500</v>
      </c>
      <c r="M189" s="215" t="s">
        <v>1110</v>
      </c>
      <c r="N189" s="211">
        <f>58750000+6462500</f>
        <v>65212500</v>
      </c>
      <c r="O189" s="167">
        <f t="shared" si="31"/>
        <v>0</v>
      </c>
      <c r="P189" s="178"/>
    </row>
    <row r="190" spans="1:16" s="169" customFormat="1" ht="60" x14ac:dyDescent="0.35">
      <c r="A190" s="160">
        <v>24</v>
      </c>
      <c r="B190" s="173" t="s">
        <v>77</v>
      </c>
      <c r="C190" s="108" t="s">
        <v>671</v>
      </c>
      <c r="D190" s="175">
        <v>45833</v>
      </c>
      <c r="E190" s="205">
        <v>45834</v>
      </c>
      <c r="F190" s="164" t="s">
        <v>676</v>
      </c>
      <c r="G190" s="165">
        <v>4515653607</v>
      </c>
      <c r="H190" s="163">
        <v>45572</v>
      </c>
      <c r="I190" s="166">
        <v>2226741687</v>
      </c>
      <c r="J190" s="176">
        <v>255716265</v>
      </c>
      <c r="K190" s="166">
        <f t="shared" si="29"/>
        <v>28128789.149999999</v>
      </c>
      <c r="L190" s="167">
        <f t="shared" si="30"/>
        <v>283845054.14999998</v>
      </c>
      <c r="M190" s="258" t="s">
        <v>1157</v>
      </c>
      <c r="N190" s="254">
        <v>2808471408</v>
      </c>
      <c r="O190" s="249">
        <f>L190+L191+L192-N190</f>
        <v>51531587.25</v>
      </c>
      <c r="P190" s="178" t="s">
        <v>1158</v>
      </c>
    </row>
    <row r="191" spans="1:16" s="169" customFormat="1" x14ac:dyDescent="0.35">
      <c r="A191" s="160">
        <v>25</v>
      </c>
      <c r="B191" s="173" t="s">
        <v>77</v>
      </c>
      <c r="C191" s="108" t="s">
        <v>672</v>
      </c>
      <c r="D191" s="175">
        <v>45833</v>
      </c>
      <c r="E191" s="205">
        <v>45834</v>
      </c>
      <c r="F191" s="164" t="s">
        <v>678</v>
      </c>
      <c r="G191" s="165">
        <v>4515388396</v>
      </c>
      <c r="H191" s="163">
        <v>45490</v>
      </c>
      <c r="I191" s="166">
        <v>3444139926</v>
      </c>
      <c r="J191" s="176">
        <v>902263010</v>
      </c>
      <c r="K191" s="166">
        <f t="shared" si="29"/>
        <v>99248931.099999994</v>
      </c>
      <c r="L191" s="167">
        <f t="shared" si="30"/>
        <v>1001511941.1</v>
      </c>
      <c r="M191" s="259"/>
      <c r="N191" s="257"/>
      <c r="O191" s="250"/>
      <c r="P191" s="178" t="s">
        <v>1159</v>
      </c>
    </row>
    <row r="192" spans="1:16" s="169" customFormat="1" ht="48" x14ac:dyDescent="0.35">
      <c r="A192" s="160">
        <v>26</v>
      </c>
      <c r="B192" s="173" t="s">
        <v>77</v>
      </c>
      <c r="C192" s="108" t="s">
        <v>673</v>
      </c>
      <c r="D192" s="175">
        <v>45833</v>
      </c>
      <c r="E192" s="205">
        <v>45834</v>
      </c>
      <c r="F192" s="164" t="s">
        <v>677</v>
      </c>
      <c r="G192" s="165">
        <v>4515553453</v>
      </c>
      <c r="H192" s="163">
        <v>45490</v>
      </c>
      <c r="I192" s="166">
        <v>14980053840</v>
      </c>
      <c r="J192" s="176">
        <v>1418600000</v>
      </c>
      <c r="K192" s="166">
        <f t="shared" si="29"/>
        <v>156046000</v>
      </c>
      <c r="L192" s="167">
        <f t="shared" si="30"/>
        <v>1574646000</v>
      </c>
      <c r="M192" s="260"/>
      <c r="N192" s="255"/>
      <c r="O192" s="251"/>
      <c r="P192" s="178" t="s">
        <v>703</v>
      </c>
    </row>
    <row r="193" spans="1:16" s="169" customFormat="1" x14ac:dyDescent="0.35">
      <c r="A193" s="160">
        <v>27</v>
      </c>
      <c r="B193" s="173" t="s">
        <v>670</v>
      </c>
      <c r="C193" s="214" t="s">
        <v>674</v>
      </c>
      <c r="D193" s="175">
        <v>45833</v>
      </c>
      <c r="E193" s="215">
        <v>45834</v>
      </c>
      <c r="F193" s="171" t="s">
        <v>679</v>
      </c>
      <c r="G193" s="165">
        <v>4516106233</v>
      </c>
      <c r="H193" s="163">
        <v>45741</v>
      </c>
      <c r="I193" s="166">
        <v>5272500000</v>
      </c>
      <c r="J193" s="176">
        <v>4750000000</v>
      </c>
      <c r="K193" s="166">
        <f t="shared" si="29"/>
        <v>522500000</v>
      </c>
      <c r="L193" s="167">
        <f t="shared" si="30"/>
        <v>5272500000</v>
      </c>
      <c r="M193" s="258" t="s">
        <v>1220</v>
      </c>
      <c r="N193" s="254">
        <v>6538454417</v>
      </c>
      <c r="O193" s="249">
        <f>L193+L194-N193</f>
        <v>5600000.1999998093</v>
      </c>
      <c r="P193" s="178"/>
    </row>
    <row r="194" spans="1:16" s="169" customFormat="1" ht="60" x14ac:dyDescent="0.35">
      <c r="A194" s="160">
        <v>28</v>
      </c>
      <c r="B194" s="173" t="s">
        <v>669</v>
      </c>
      <c r="C194" s="108" t="s">
        <v>675</v>
      </c>
      <c r="D194" s="175">
        <v>45833</v>
      </c>
      <c r="E194" s="215">
        <v>45834</v>
      </c>
      <c r="F194" s="194" t="s">
        <v>680</v>
      </c>
      <c r="G194" s="165">
        <v>4516235160</v>
      </c>
      <c r="H194" s="162">
        <v>45793</v>
      </c>
      <c r="I194" s="166">
        <v>1271554417</v>
      </c>
      <c r="J194" s="166">
        <v>1145544520</v>
      </c>
      <c r="K194" s="166">
        <f>J194*11%</f>
        <v>126009897.2</v>
      </c>
      <c r="L194" s="167">
        <f t="shared" si="30"/>
        <v>1271554417.2</v>
      </c>
      <c r="M194" s="260"/>
      <c r="N194" s="255"/>
      <c r="O194" s="251"/>
      <c r="P194" s="178" t="s">
        <v>704</v>
      </c>
    </row>
    <row r="195" spans="1:16" s="169" customFormat="1" ht="24" x14ac:dyDescent="0.35">
      <c r="A195" s="160">
        <v>29</v>
      </c>
      <c r="B195" s="173" t="s">
        <v>77</v>
      </c>
      <c r="C195" s="108" t="s">
        <v>681</v>
      </c>
      <c r="D195" s="175">
        <v>45803</v>
      </c>
      <c r="E195" s="242">
        <v>45838</v>
      </c>
      <c r="F195" s="194" t="s">
        <v>683</v>
      </c>
      <c r="G195" s="165">
        <v>4515653607</v>
      </c>
      <c r="H195" s="163">
        <v>45572</v>
      </c>
      <c r="I195" s="166">
        <v>2226741687</v>
      </c>
      <c r="J195" s="166">
        <v>436495360</v>
      </c>
      <c r="K195" s="166">
        <f>J195*11%</f>
        <v>48014489.600000001</v>
      </c>
      <c r="L195" s="167">
        <f t="shared" si="30"/>
        <v>484509849.60000002</v>
      </c>
      <c r="M195" s="258" t="s">
        <v>1445</v>
      </c>
      <c r="N195" s="254">
        <v>2636648263</v>
      </c>
      <c r="O195" s="249">
        <f>L195+L196-N195</f>
        <v>48378866.599999905</v>
      </c>
      <c r="P195" s="178" t="s">
        <v>705</v>
      </c>
    </row>
    <row r="196" spans="1:16" s="169" customFormat="1" x14ac:dyDescent="0.35">
      <c r="A196" s="160">
        <v>30</v>
      </c>
      <c r="B196" s="173" t="s">
        <v>77</v>
      </c>
      <c r="C196" s="108" t="s">
        <v>682</v>
      </c>
      <c r="D196" s="175">
        <v>45803</v>
      </c>
      <c r="E196" s="242">
        <v>45838</v>
      </c>
      <c r="F196" s="194" t="s">
        <v>684</v>
      </c>
      <c r="G196" s="165">
        <v>4515553453</v>
      </c>
      <c r="H196" s="163">
        <v>45490</v>
      </c>
      <c r="I196" s="166">
        <v>14980053840</v>
      </c>
      <c r="J196" s="166">
        <v>1982448000</v>
      </c>
      <c r="K196" s="166">
        <f>J196*11%</f>
        <v>218069280</v>
      </c>
      <c r="L196" s="167">
        <f t="shared" si="30"/>
        <v>2200517280</v>
      </c>
      <c r="M196" s="260"/>
      <c r="N196" s="255"/>
      <c r="O196" s="251"/>
      <c r="P196" s="178" t="s">
        <v>706</v>
      </c>
    </row>
    <row r="197" spans="1:16" s="17" customFormat="1" ht="30.75" customHeight="1" x14ac:dyDescent="0.35">
      <c r="A197" s="273" t="s">
        <v>37</v>
      </c>
      <c r="B197" s="273"/>
      <c r="C197" s="273"/>
      <c r="D197" s="273"/>
      <c r="E197" s="273"/>
      <c r="F197" s="273"/>
      <c r="G197" s="273"/>
      <c r="H197" s="273"/>
      <c r="I197" s="61">
        <f>SUM(I167:I196)</f>
        <v>54612314234</v>
      </c>
      <c r="J197" s="61">
        <f>SUM(J167:J196)</f>
        <v>12929113488</v>
      </c>
      <c r="K197" s="61">
        <f>SUM(K167:K196)</f>
        <v>1422202483.1799998</v>
      </c>
      <c r="L197" s="68">
        <f>SUM(L167:L196)</f>
        <v>14351315971.180002</v>
      </c>
      <c r="M197" s="46"/>
      <c r="N197" s="47">
        <f>SUM(N167:N196)</f>
        <v>13836277726</v>
      </c>
      <c r="O197" s="68">
        <f>SUM(O167:O196)</f>
        <v>515038245.17999971</v>
      </c>
      <c r="P197" s="149"/>
    </row>
    <row r="198" spans="1:16" s="17" customFormat="1" ht="30" customHeight="1" x14ac:dyDescent="0.35">
      <c r="A198" s="51"/>
      <c r="B198" s="40"/>
      <c r="C198" s="51"/>
      <c r="D198" s="53"/>
      <c r="E198" s="51"/>
      <c r="F198" s="40"/>
      <c r="G198" s="51"/>
      <c r="H198" s="53"/>
      <c r="I198" s="63"/>
      <c r="J198" s="63"/>
      <c r="K198" s="42"/>
      <c r="L198" s="64"/>
      <c r="M198" s="51"/>
      <c r="N198" s="54"/>
      <c r="O198" s="40"/>
      <c r="P198" s="52"/>
    </row>
    <row r="199" spans="1:16" s="169" customFormat="1" x14ac:dyDescent="0.35">
      <c r="A199" s="160">
        <v>1</v>
      </c>
      <c r="B199" s="173" t="s">
        <v>664</v>
      </c>
      <c r="C199" s="108" t="s">
        <v>667</v>
      </c>
      <c r="D199" s="175">
        <v>45840</v>
      </c>
      <c r="E199" s="170">
        <v>45842</v>
      </c>
      <c r="F199" s="164" t="s">
        <v>665</v>
      </c>
      <c r="G199" s="165" t="s">
        <v>666</v>
      </c>
      <c r="H199" s="163">
        <v>45597</v>
      </c>
      <c r="I199" s="166">
        <v>27580000</v>
      </c>
      <c r="J199" s="176">
        <v>24846847</v>
      </c>
      <c r="K199" s="166">
        <f t="shared" ref="K199" si="32">J199*11%</f>
        <v>2733153.17</v>
      </c>
      <c r="L199" s="167">
        <f>J199+K199</f>
        <v>27580000.170000002</v>
      </c>
      <c r="M199" s="160" t="s">
        <v>863</v>
      </c>
      <c r="N199" s="168">
        <v>24347010</v>
      </c>
      <c r="O199" s="167">
        <f>L199-N199</f>
        <v>3232990.1700000018</v>
      </c>
      <c r="P199" s="165" t="s">
        <v>864</v>
      </c>
    </row>
    <row r="200" spans="1:16" s="169" customFormat="1" x14ac:dyDescent="0.35">
      <c r="A200" s="160">
        <v>2</v>
      </c>
      <c r="B200" s="161" t="s">
        <v>347</v>
      </c>
      <c r="C200" s="142" t="s">
        <v>685</v>
      </c>
      <c r="D200" s="162">
        <v>45839</v>
      </c>
      <c r="E200" s="162">
        <v>45839</v>
      </c>
      <c r="F200" s="164" t="s">
        <v>686</v>
      </c>
      <c r="G200" s="165" t="s">
        <v>687</v>
      </c>
      <c r="H200" s="163">
        <v>45834</v>
      </c>
      <c r="I200" s="166">
        <v>17826600</v>
      </c>
      <c r="J200" s="166">
        <v>4818000</v>
      </c>
      <c r="K200" s="166">
        <f t="shared" ref="K200:K239" si="33">J200*11%</f>
        <v>529980</v>
      </c>
      <c r="L200" s="167">
        <f>J200+K200</f>
        <v>5347980</v>
      </c>
      <c r="M200" s="160" t="s">
        <v>726</v>
      </c>
      <c r="N200" s="166">
        <v>5345580</v>
      </c>
      <c r="O200" s="167">
        <f t="shared" ref="O200:O239" si="34">L200-N200</f>
        <v>2400</v>
      </c>
      <c r="P200" s="165" t="s">
        <v>727</v>
      </c>
    </row>
    <row r="201" spans="1:16" s="169" customFormat="1" ht="48" x14ac:dyDescent="0.35">
      <c r="A201" s="174">
        <v>3</v>
      </c>
      <c r="B201" s="173" t="s">
        <v>123</v>
      </c>
      <c r="C201" s="108" t="s">
        <v>688</v>
      </c>
      <c r="D201" s="162">
        <v>45839</v>
      </c>
      <c r="E201" s="162">
        <v>45839</v>
      </c>
      <c r="F201" s="164" t="s">
        <v>689</v>
      </c>
      <c r="G201" s="183" t="s">
        <v>690</v>
      </c>
      <c r="H201" s="175">
        <v>45643</v>
      </c>
      <c r="I201" s="176">
        <v>2845430888</v>
      </c>
      <c r="J201" s="176">
        <v>203286250</v>
      </c>
      <c r="K201" s="166">
        <f t="shared" si="33"/>
        <v>22361487.5</v>
      </c>
      <c r="L201" s="167">
        <f t="shared" ref="L201:L228" si="35">J201+K201</f>
        <v>225647737.5</v>
      </c>
      <c r="M201" s="160" t="s">
        <v>840</v>
      </c>
      <c r="N201" s="166">
        <v>222090229</v>
      </c>
      <c r="O201" s="167">
        <f t="shared" si="34"/>
        <v>3557508.5</v>
      </c>
      <c r="P201" s="165" t="s">
        <v>354</v>
      </c>
    </row>
    <row r="202" spans="1:16" s="169" customFormat="1" x14ac:dyDescent="0.35">
      <c r="A202" s="160">
        <v>4</v>
      </c>
      <c r="B202" s="161" t="s">
        <v>210</v>
      </c>
      <c r="C202" s="142" t="s">
        <v>707</v>
      </c>
      <c r="D202" s="162">
        <v>45841</v>
      </c>
      <c r="E202" s="162">
        <v>45842</v>
      </c>
      <c r="F202" s="164" t="s">
        <v>711</v>
      </c>
      <c r="G202" s="165" t="s">
        <v>712</v>
      </c>
      <c r="H202" s="163">
        <v>45839</v>
      </c>
      <c r="I202" s="166">
        <v>39627000</v>
      </c>
      <c r="J202" s="166">
        <v>10710000</v>
      </c>
      <c r="K202" s="166">
        <f t="shared" si="33"/>
        <v>1178100</v>
      </c>
      <c r="L202" s="167">
        <f t="shared" si="35"/>
        <v>11888100</v>
      </c>
      <c r="M202" s="162" t="s">
        <v>790</v>
      </c>
      <c r="N202" s="168">
        <v>11880270</v>
      </c>
      <c r="O202" s="167">
        <f t="shared" si="34"/>
        <v>7830</v>
      </c>
      <c r="P202" s="165" t="s">
        <v>768</v>
      </c>
    </row>
    <row r="203" spans="1:16" s="169" customFormat="1" ht="24" x14ac:dyDescent="0.35">
      <c r="A203" s="174">
        <v>5</v>
      </c>
      <c r="B203" s="173" t="s">
        <v>504</v>
      </c>
      <c r="C203" s="108" t="s">
        <v>708</v>
      </c>
      <c r="D203" s="175">
        <v>45841</v>
      </c>
      <c r="E203" s="175">
        <v>45842</v>
      </c>
      <c r="F203" s="164" t="s">
        <v>713</v>
      </c>
      <c r="G203" s="165" t="s">
        <v>508</v>
      </c>
      <c r="H203" s="162">
        <v>45762</v>
      </c>
      <c r="I203" s="166">
        <v>35520000</v>
      </c>
      <c r="J203" s="176">
        <v>8000000</v>
      </c>
      <c r="K203" s="166">
        <f t="shared" si="33"/>
        <v>880000</v>
      </c>
      <c r="L203" s="167">
        <f t="shared" si="35"/>
        <v>8880000</v>
      </c>
      <c r="M203" s="175" t="s">
        <v>840</v>
      </c>
      <c r="N203" s="177">
        <v>8720000</v>
      </c>
      <c r="O203" s="167">
        <f t="shared" si="34"/>
        <v>160000</v>
      </c>
      <c r="P203" s="183" t="s">
        <v>206</v>
      </c>
    </row>
    <row r="204" spans="1:16" s="169" customFormat="1" x14ac:dyDescent="0.35">
      <c r="A204" s="160">
        <v>6</v>
      </c>
      <c r="B204" s="173" t="s">
        <v>153</v>
      </c>
      <c r="C204" s="108" t="s">
        <v>709</v>
      </c>
      <c r="D204" s="175">
        <v>45841</v>
      </c>
      <c r="E204" s="175">
        <v>45842</v>
      </c>
      <c r="F204" s="164" t="s">
        <v>715</v>
      </c>
      <c r="G204" s="183" t="s">
        <v>155</v>
      </c>
      <c r="H204" s="162">
        <v>45638</v>
      </c>
      <c r="I204" s="166">
        <v>97680000</v>
      </c>
      <c r="J204" s="166">
        <v>22000000</v>
      </c>
      <c r="K204" s="166">
        <f t="shared" si="33"/>
        <v>2420000</v>
      </c>
      <c r="L204" s="167">
        <f t="shared" si="35"/>
        <v>24420000</v>
      </c>
      <c r="M204" s="162" t="s">
        <v>984</v>
      </c>
      <c r="N204" s="166">
        <v>23980000</v>
      </c>
      <c r="O204" s="167">
        <f t="shared" si="34"/>
        <v>440000</v>
      </c>
      <c r="P204" s="165" t="s">
        <v>206</v>
      </c>
    </row>
    <row r="205" spans="1:16" s="169" customFormat="1" x14ac:dyDescent="0.35">
      <c r="A205" s="192">
        <v>7</v>
      </c>
      <c r="B205" s="173" t="s">
        <v>716</v>
      </c>
      <c r="C205" s="108" t="s">
        <v>710</v>
      </c>
      <c r="D205" s="175">
        <v>45841</v>
      </c>
      <c r="E205" s="175">
        <v>45842</v>
      </c>
      <c r="F205" s="164" t="s">
        <v>717</v>
      </c>
      <c r="G205" s="165" t="s">
        <v>718</v>
      </c>
      <c r="H205" s="162">
        <v>45833</v>
      </c>
      <c r="I205" s="179">
        <v>6660000</v>
      </c>
      <c r="J205" s="176">
        <v>6000000</v>
      </c>
      <c r="K205" s="166">
        <f t="shared" si="33"/>
        <v>660000</v>
      </c>
      <c r="L205" s="167">
        <f t="shared" si="35"/>
        <v>6660000</v>
      </c>
      <c r="M205" s="162" t="s">
        <v>961</v>
      </c>
      <c r="N205" s="166">
        <v>6540000</v>
      </c>
      <c r="O205" s="167">
        <f t="shared" si="34"/>
        <v>120000</v>
      </c>
      <c r="P205" s="165" t="s">
        <v>206</v>
      </c>
    </row>
    <row r="206" spans="1:16" s="169" customFormat="1" x14ac:dyDescent="0.35">
      <c r="A206" s="160">
        <v>8</v>
      </c>
      <c r="B206" s="173" t="s">
        <v>719</v>
      </c>
      <c r="C206" s="184" t="s">
        <v>714</v>
      </c>
      <c r="D206" s="175">
        <v>45841</v>
      </c>
      <c r="E206" s="175">
        <v>45842</v>
      </c>
      <c r="F206" s="185" t="s">
        <v>720</v>
      </c>
      <c r="G206" s="183" t="s">
        <v>721</v>
      </c>
      <c r="H206" s="162">
        <v>45840</v>
      </c>
      <c r="I206" s="176">
        <v>396270000</v>
      </c>
      <c r="J206" s="176">
        <v>71400000</v>
      </c>
      <c r="K206" s="166">
        <f t="shared" si="33"/>
        <v>7854000</v>
      </c>
      <c r="L206" s="167">
        <f t="shared" si="35"/>
        <v>79254000</v>
      </c>
      <c r="M206" s="175" t="s">
        <v>769</v>
      </c>
      <c r="N206" s="177">
        <v>79254000</v>
      </c>
      <c r="O206" s="167">
        <f t="shared" si="34"/>
        <v>0</v>
      </c>
      <c r="P206" s="183"/>
    </row>
    <row r="207" spans="1:16" s="169" customFormat="1" ht="24" x14ac:dyDescent="0.35">
      <c r="A207" s="174">
        <v>9</v>
      </c>
      <c r="B207" s="161" t="s">
        <v>145</v>
      </c>
      <c r="C207" s="160" t="s">
        <v>722</v>
      </c>
      <c r="D207" s="162">
        <v>45842</v>
      </c>
      <c r="E207" s="162">
        <v>45845</v>
      </c>
      <c r="F207" s="164" t="s">
        <v>723</v>
      </c>
      <c r="G207" s="183" t="s">
        <v>146</v>
      </c>
      <c r="H207" s="162">
        <v>45166</v>
      </c>
      <c r="I207" s="176">
        <v>6284642400</v>
      </c>
      <c r="J207" s="166">
        <v>235910000</v>
      </c>
      <c r="K207" s="166">
        <f t="shared" si="33"/>
        <v>25950100</v>
      </c>
      <c r="L207" s="167">
        <f t="shared" si="35"/>
        <v>261860100</v>
      </c>
      <c r="M207" s="160" t="s">
        <v>790</v>
      </c>
      <c r="N207" s="168">
        <v>261860100</v>
      </c>
      <c r="O207" s="167">
        <f t="shared" si="34"/>
        <v>0</v>
      </c>
      <c r="P207" s="183"/>
    </row>
    <row r="208" spans="1:16" s="169" customFormat="1" x14ac:dyDescent="0.35">
      <c r="A208" s="160">
        <v>10</v>
      </c>
      <c r="B208" s="164" t="s">
        <v>438</v>
      </c>
      <c r="C208" s="142" t="s">
        <v>725</v>
      </c>
      <c r="D208" s="162">
        <v>45842</v>
      </c>
      <c r="E208" s="162">
        <v>45845</v>
      </c>
      <c r="F208" s="164" t="s">
        <v>724</v>
      </c>
      <c r="G208" s="165" t="s">
        <v>441</v>
      </c>
      <c r="H208" s="162">
        <v>45649</v>
      </c>
      <c r="I208" s="166">
        <v>33300000</v>
      </c>
      <c r="J208" s="166">
        <v>3750000</v>
      </c>
      <c r="K208" s="166">
        <f t="shared" si="33"/>
        <v>412500</v>
      </c>
      <c r="L208" s="167">
        <f t="shared" si="35"/>
        <v>4162500</v>
      </c>
      <c r="M208" s="175" t="s">
        <v>772</v>
      </c>
      <c r="N208" s="188">
        <v>4087500</v>
      </c>
      <c r="O208" s="167">
        <f t="shared" si="34"/>
        <v>75000</v>
      </c>
      <c r="P208" s="183" t="s">
        <v>206</v>
      </c>
    </row>
    <row r="209" spans="1:16" s="169" customFormat="1" ht="15" customHeight="1" x14ac:dyDescent="0.35">
      <c r="A209" s="174">
        <v>11</v>
      </c>
      <c r="B209" s="173" t="s">
        <v>442</v>
      </c>
      <c r="C209" s="108" t="s">
        <v>729</v>
      </c>
      <c r="D209" s="175">
        <v>45845</v>
      </c>
      <c r="E209" s="175">
        <v>45846</v>
      </c>
      <c r="F209" s="164" t="s">
        <v>1121</v>
      </c>
      <c r="G209" s="165" t="s">
        <v>445</v>
      </c>
      <c r="H209" s="162">
        <v>45658</v>
      </c>
      <c r="I209" s="166">
        <v>51448500</v>
      </c>
      <c r="J209" s="166">
        <v>11587500</v>
      </c>
      <c r="K209" s="166">
        <f t="shared" si="33"/>
        <v>1274625</v>
      </c>
      <c r="L209" s="167">
        <f t="shared" si="35"/>
        <v>12862125</v>
      </c>
      <c r="M209" s="175" t="s">
        <v>856</v>
      </c>
      <c r="N209" s="177">
        <v>11355750</v>
      </c>
      <c r="O209" s="167">
        <f t="shared" si="34"/>
        <v>1506375</v>
      </c>
      <c r="P209" s="183" t="s">
        <v>857</v>
      </c>
    </row>
    <row r="210" spans="1:16" s="169" customFormat="1" ht="48" x14ac:dyDescent="0.35">
      <c r="A210" s="160">
        <v>12</v>
      </c>
      <c r="B210" s="173" t="s">
        <v>738</v>
      </c>
      <c r="C210" s="108" t="s">
        <v>730</v>
      </c>
      <c r="D210" s="175">
        <v>45845</v>
      </c>
      <c r="E210" s="175">
        <v>45846</v>
      </c>
      <c r="F210" s="185" t="s">
        <v>741</v>
      </c>
      <c r="G210" s="183" t="s">
        <v>740</v>
      </c>
      <c r="H210" s="162">
        <v>45832</v>
      </c>
      <c r="I210" s="176">
        <v>6649899</v>
      </c>
      <c r="J210" s="176">
        <v>5990900</v>
      </c>
      <c r="K210" s="166">
        <f t="shared" si="33"/>
        <v>658999</v>
      </c>
      <c r="L210" s="167">
        <f t="shared" si="35"/>
        <v>6649899</v>
      </c>
      <c r="M210" s="175" t="s">
        <v>848</v>
      </c>
      <c r="N210" s="177">
        <v>6527181</v>
      </c>
      <c r="O210" s="167">
        <f t="shared" si="34"/>
        <v>122718</v>
      </c>
      <c r="P210" s="183" t="s">
        <v>860</v>
      </c>
    </row>
    <row r="211" spans="1:16" s="169" customFormat="1" ht="24" x14ac:dyDescent="0.35">
      <c r="A211" s="174">
        <v>13</v>
      </c>
      <c r="B211" s="173" t="s">
        <v>738</v>
      </c>
      <c r="C211" s="108" t="s">
        <v>731</v>
      </c>
      <c r="D211" s="175">
        <v>45845</v>
      </c>
      <c r="E211" s="175">
        <v>45846</v>
      </c>
      <c r="F211" s="164" t="s">
        <v>742</v>
      </c>
      <c r="G211" s="165" t="s">
        <v>743</v>
      </c>
      <c r="H211" s="162">
        <v>45818</v>
      </c>
      <c r="I211" s="166">
        <v>7182699</v>
      </c>
      <c r="J211" s="176">
        <v>6470900</v>
      </c>
      <c r="K211" s="166">
        <f t="shared" si="33"/>
        <v>711799</v>
      </c>
      <c r="L211" s="167">
        <f t="shared" si="35"/>
        <v>7182699</v>
      </c>
      <c r="M211" s="175" t="s">
        <v>848</v>
      </c>
      <c r="N211" s="177">
        <v>7050381</v>
      </c>
      <c r="O211" s="167">
        <f t="shared" si="34"/>
        <v>132318</v>
      </c>
      <c r="P211" s="183" t="s">
        <v>861</v>
      </c>
    </row>
    <row r="212" spans="1:16" s="169" customFormat="1" ht="72" x14ac:dyDescent="0.35">
      <c r="A212" s="160">
        <v>14</v>
      </c>
      <c r="B212" s="173" t="s">
        <v>739</v>
      </c>
      <c r="C212" s="192" t="s">
        <v>732</v>
      </c>
      <c r="D212" s="175">
        <v>45845</v>
      </c>
      <c r="E212" s="175">
        <v>45846</v>
      </c>
      <c r="F212" s="164" t="s">
        <v>744</v>
      </c>
      <c r="G212" s="165" t="s">
        <v>745</v>
      </c>
      <c r="H212" s="163">
        <v>45764</v>
      </c>
      <c r="I212" s="166">
        <v>808497359</v>
      </c>
      <c r="J212" s="176">
        <v>145675200</v>
      </c>
      <c r="K212" s="166">
        <f t="shared" si="33"/>
        <v>16024272</v>
      </c>
      <c r="L212" s="167">
        <f t="shared" si="35"/>
        <v>161699472</v>
      </c>
      <c r="M212" s="175" t="s">
        <v>878</v>
      </c>
      <c r="N212" s="191">
        <v>161696572</v>
      </c>
      <c r="O212" s="167">
        <f t="shared" si="34"/>
        <v>2900</v>
      </c>
      <c r="P212" s="183" t="s">
        <v>359</v>
      </c>
    </row>
    <row r="213" spans="1:16" s="169" customFormat="1" x14ac:dyDescent="0.35">
      <c r="A213" s="214">
        <v>15</v>
      </c>
      <c r="B213" s="173" t="s">
        <v>618</v>
      </c>
      <c r="C213" s="108" t="s">
        <v>733</v>
      </c>
      <c r="D213" s="175">
        <v>45846</v>
      </c>
      <c r="E213" s="175">
        <v>45848</v>
      </c>
      <c r="F213" s="194" t="s">
        <v>760</v>
      </c>
      <c r="G213" s="165" t="s">
        <v>761</v>
      </c>
      <c r="H213" s="162">
        <v>45840</v>
      </c>
      <c r="I213" s="166">
        <v>16193124</v>
      </c>
      <c r="J213" s="166">
        <v>14588400</v>
      </c>
      <c r="K213" s="166">
        <f t="shared" si="33"/>
        <v>1604724</v>
      </c>
      <c r="L213" s="167">
        <f t="shared" si="35"/>
        <v>16193124</v>
      </c>
      <c r="M213" s="214" t="s">
        <v>1144</v>
      </c>
      <c r="N213" s="211">
        <v>15901356</v>
      </c>
      <c r="O213" s="167">
        <f t="shared" si="34"/>
        <v>291768</v>
      </c>
      <c r="P213" s="183" t="s">
        <v>206</v>
      </c>
    </row>
    <row r="214" spans="1:16" s="169" customFormat="1" x14ac:dyDescent="0.35">
      <c r="A214" s="160">
        <v>16</v>
      </c>
      <c r="B214" s="173" t="s">
        <v>762</v>
      </c>
      <c r="C214" s="108" t="s">
        <v>734</v>
      </c>
      <c r="D214" s="175">
        <v>45847</v>
      </c>
      <c r="E214" s="175">
        <v>45848</v>
      </c>
      <c r="F214" s="185" t="s">
        <v>763</v>
      </c>
      <c r="G214" s="185" t="s">
        <v>764</v>
      </c>
      <c r="H214" s="162">
        <v>45841</v>
      </c>
      <c r="I214" s="176">
        <v>248728800</v>
      </c>
      <c r="J214" s="176">
        <v>67224000</v>
      </c>
      <c r="K214" s="166">
        <f t="shared" si="33"/>
        <v>7394640</v>
      </c>
      <c r="L214" s="167">
        <f t="shared" si="35"/>
        <v>74618640</v>
      </c>
      <c r="M214" s="174" t="s">
        <v>854</v>
      </c>
      <c r="N214" s="177">
        <v>74292090</v>
      </c>
      <c r="O214" s="167">
        <f t="shared" si="34"/>
        <v>326550</v>
      </c>
      <c r="P214" s="183" t="s">
        <v>855</v>
      </c>
    </row>
    <row r="215" spans="1:16" s="169" customFormat="1" ht="24" x14ac:dyDescent="0.35">
      <c r="A215" s="192">
        <v>17</v>
      </c>
      <c r="B215" s="161" t="s">
        <v>765</v>
      </c>
      <c r="C215" s="142" t="s">
        <v>735</v>
      </c>
      <c r="D215" s="175">
        <v>45847</v>
      </c>
      <c r="E215" s="175">
        <v>45848</v>
      </c>
      <c r="F215" s="194" t="s">
        <v>766</v>
      </c>
      <c r="G215" s="165">
        <v>941333072</v>
      </c>
      <c r="H215" s="162">
        <v>45408</v>
      </c>
      <c r="I215" s="166">
        <v>486069000</v>
      </c>
      <c r="J215" s="166">
        <v>87580000</v>
      </c>
      <c r="K215" s="166">
        <f t="shared" si="33"/>
        <v>9633800</v>
      </c>
      <c r="L215" s="167">
        <f t="shared" si="35"/>
        <v>97213800</v>
      </c>
      <c r="M215" s="160" t="s">
        <v>963</v>
      </c>
      <c r="N215" s="166">
        <v>95681150</v>
      </c>
      <c r="O215" s="167">
        <f t="shared" si="34"/>
        <v>1532650</v>
      </c>
      <c r="P215" s="165" t="s">
        <v>354</v>
      </c>
    </row>
    <row r="216" spans="1:16" s="169" customFormat="1" x14ac:dyDescent="0.35">
      <c r="A216" s="160">
        <v>18</v>
      </c>
      <c r="B216" s="161" t="s">
        <v>285</v>
      </c>
      <c r="C216" s="160" t="s">
        <v>736</v>
      </c>
      <c r="D216" s="175">
        <v>45848</v>
      </c>
      <c r="E216" s="175">
        <v>45848</v>
      </c>
      <c r="F216" s="164" t="s">
        <v>767</v>
      </c>
      <c r="G216" s="165" t="s">
        <v>289</v>
      </c>
      <c r="H216" s="162">
        <v>45622</v>
      </c>
      <c r="I216" s="166">
        <v>352980000</v>
      </c>
      <c r="J216" s="166">
        <v>143100000</v>
      </c>
      <c r="K216" s="166">
        <f t="shared" si="33"/>
        <v>15741000</v>
      </c>
      <c r="L216" s="167">
        <f t="shared" si="35"/>
        <v>158841000</v>
      </c>
      <c r="M216" s="160" t="s">
        <v>772</v>
      </c>
      <c r="N216" s="166">
        <v>158841000</v>
      </c>
      <c r="O216" s="167">
        <f t="shared" si="34"/>
        <v>0</v>
      </c>
      <c r="P216" s="165"/>
    </row>
    <row r="217" spans="1:16" s="169" customFormat="1" x14ac:dyDescent="0.35">
      <c r="A217" s="174">
        <v>19</v>
      </c>
      <c r="B217" s="161" t="s">
        <v>194</v>
      </c>
      <c r="C217" s="142" t="s">
        <v>737</v>
      </c>
      <c r="D217" s="162">
        <v>45848</v>
      </c>
      <c r="E217" s="162">
        <v>45849</v>
      </c>
      <c r="F217" s="161" t="s">
        <v>770</v>
      </c>
      <c r="G217" s="165" t="s">
        <v>771</v>
      </c>
      <c r="H217" s="163">
        <v>45839</v>
      </c>
      <c r="I217" s="166">
        <v>16650000</v>
      </c>
      <c r="J217" s="166">
        <v>15000000</v>
      </c>
      <c r="K217" s="166">
        <f t="shared" si="33"/>
        <v>1650000</v>
      </c>
      <c r="L217" s="167">
        <f t="shared" si="35"/>
        <v>16650000</v>
      </c>
      <c r="M217" s="160" t="s">
        <v>798</v>
      </c>
      <c r="N217" s="166">
        <v>16343500</v>
      </c>
      <c r="O217" s="167">
        <f t="shared" si="34"/>
        <v>306500</v>
      </c>
      <c r="P217" s="165" t="s">
        <v>859</v>
      </c>
    </row>
    <row r="218" spans="1:16" s="169" customFormat="1" ht="36" x14ac:dyDescent="0.35">
      <c r="A218" s="160">
        <v>20</v>
      </c>
      <c r="B218" s="161" t="s">
        <v>339</v>
      </c>
      <c r="C218" s="142" t="s">
        <v>773</v>
      </c>
      <c r="D218" s="162">
        <v>45852</v>
      </c>
      <c r="E218" s="162">
        <v>45852</v>
      </c>
      <c r="F218" s="164" t="s">
        <v>796</v>
      </c>
      <c r="G218" s="165" t="s">
        <v>781</v>
      </c>
      <c r="H218" s="163">
        <v>45849</v>
      </c>
      <c r="I218" s="166">
        <v>12487500</v>
      </c>
      <c r="J218" s="166">
        <v>3375000</v>
      </c>
      <c r="K218" s="166">
        <f t="shared" si="33"/>
        <v>371250</v>
      </c>
      <c r="L218" s="167">
        <f t="shared" si="35"/>
        <v>3746250</v>
      </c>
      <c r="M218" s="252" t="s">
        <v>791</v>
      </c>
      <c r="N218" s="254">
        <v>120524250</v>
      </c>
      <c r="O218" s="249">
        <f>L218+L219-N218</f>
        <v>105000</v>
      </c>
      <c r="P218" s="165" t="s">
        <v>797</v>
      </c>
    </row>
    <row r="219" spans="1:16" s="169" customFormat="1" x14ac:dyDescent="0.35">
      <c r="A219" s="174">
        <v>21</v>
      </c>
      <c r="B219" s="161" t="s">
        <v>779</v>
      </c>
      <c r="C219" s="142" t="s">
        <v>774</v>
      </c>
      <c r="D219" s="162">
        <v>45852</v>
      </c>
      <c r="E219" s="162">
        <v>45852</v>
      </c>
      <c r="F219" s="161" t="s">
        <v>782</v>
      </c>
      <c r="G219" s="165" t="s">
        <v>1172</v>
      </c>
      <c r="H219" s="163">
        <v>45849</v>
      </c>
      <c r="I219" s="166">
        <v>389610000</v>
      </c>
      <c r="J219" s="166">
        <v>105300000</v>
      </c>
      <c r="K219" s="166">
        <f t="shared" si="33"/>
        <v>11583000</v>
      </c>
      <c r="L219" s="167">
        <f t="shared" si="35"/>
        <v>116883000</v>
      </c>
      <c r="M219" s="253"/>
      <c r="N219" s="255"/>
      <c r="O219" s="251"/>
      <c r="P219" s="165" t="s">
        <v>795</v>
      </c>
    </row>
    <row r="220" spans="1:16" s="169" customFormat="1" x14ac:dyDescent="0.35">
      <c r="A220" s="160">
        <v>22</v>
      </c>
      <c r="B220" s="161" t="s">
        <v>780</v>
      </c>
      <c r="C220" s="160" t="s">
        <v>775</v>
      </c>
      <c r="D220" s="162">
        <v>45852</v>
      </c>
      <c r="E220" s="162">
        <v>45852</v>
      </c>
      <c r="F220" s="164" t="s">
        <v>783</v>
      </c>
      <c r="G220" s="183">
        <v>4516499742</v>
      </c>
      <c r="H220" s="162">
        <v>45846</v>
      </c>
      <c r="I220" s="176">
        <v>55500000</v>
      </c>
      <c r="J220" s="166">
        <v>50000000</v>
      </c>
      <c r="K220" s="166">
        <f t="shared" si="33"/>
        <v>5500000</v>
      </c>
      <c r="L220" s="167">
        <f t="shared" si="35"/>
        <v>55500000</v>
      </c>
      <c r="M220" s="160" t="s">
        <v>1445</v>
      </c>
      <c r="N220" s="168">
        <v>55500000</v>
      </c>
      <c r="O220" s="167">
        <f t="shared" si="34"/>
        <v>0</v>
      </c>
      <c r="P220" s="165"/>
    </row>
    <row r="221" spans="1:16" s="169" customFormat="1" ht="84" x14ac:dyDescent="0.35">
      <c r="A221" s="160">
        <v>23</v>
      </c>
      <c r="B221" s="161" t="s">
        <v>585</v>
      </c>
      <c r="C221" s="142" t="s">
        <v>776</v>
      </c>
      <c r="D221" s="162">
        <v>45855</v>
      </c>
      <c r="E221" s="163">
        <v>45856</v>
      </c>
      <c r="F221" s="164" t="s">
        <v>794</v>
      </c>
      <c r="G221" s="183" t="s">
        <v>590</v>
      </c>
      <c r="H221" s="162">
        <v>45827</v>
      </c>
      <c r="I221" s="176">
        <v>4107000000</v>
      </c>
      <c r="J221" s="166">
        <v>1248696000</v>
      </c>
      <c r="K221" s="166">
        <f t="shared" si="33"/>
        <v>137356560</v>
      </c>
      <c r="L221" s="167">
        <f t="shared" si="35"/>
        <v>1386052560</v>
      </c>
      <c r="M221" s="160" t="s">
        <v>1240</v>
      </c>
      <c r="N221" s="166">
        <v>1361078640</v>
      </c>
      <c r="O221" s="167">
        <f t="shared" si="34"/>
        <v>24973920</v>
      </c>
      <c r="P221" s="165" t="s">
        <v>206</v>
      </c>
    </row>
    <row r="222" spans="1:16" s="169" customFormat="1" x14ac:dyDescent="0.35">
      <c r="A222" s="160">
        <v>24</v>
      </c>
      <c r="B222" s="161" t="s">
        <v>816</v>
      </c>
      <c r="C222" s="142" t="s">
        <v>777</v>
      </c>
      <c r="D222" s="162">
        <v>45859</v>
      </c>
      <c r="E222" s="163">
        <v>45860</v>
      </c>
      <c r="F222" s="185" t="s">
        <v>819</v>
      </c>
      <c r="G222" s="183" t="s">
        <v>817</v>
      </c>
      <c r="H222" s="162">
        <v>45477</v>
      </c>
      <c r="I222" s="176">
        <v>161394000</v>
      </c>
      <c r="J222" s="166">
        <v>101780000</v>
      </c>
      <c r="K222" s="166">
        <f t="shared" si="33"/>
        <v>11195800</v>
      </c>
      <c r="L222" s="167">
        <f t="shared" si="35"/>
        <v>112975800</v>
      </c>
      <c r="M222" s="160" t="s">
        <v>862</v>
      </c>
      <c r="N222" s="166">
        <v>112631400</v>
      </c>
      <c r="O222" s="167">
        <f t="shared" si="34"/>
        <v>344400</v>
      </c>
      <c r="P222" s="165" t="s">
        <v>865</v>
      </c>
    </row>
    <row r="223" spans="1:16" s="169" customFormat="1" x14ac:dyDescent="0.35">
      <c r="A223" s="160">
        <v>25</v>
      </c>
      <c r="B223" s="161" t="s">
        <v>818</v>
      </c>
      <c r="C223" s="142" t="s">
        <v>778</v>
      </c>
      <c r="D223" s="162">
        <v>45859</v>
      </c>
      <c r="E223" s="163">
        <v>45860</v>
      </c>
      <c r="F223" s="164" t="s">
        <v>782</v>
      </c>
      <c r="G223" s="183" t="s">
        <v>820</v>
      </c>
      <c r="H223" s="162">
        <v>45855</v>
      </c>
      <c r="I223" s="176">
        <v>389610000</v>
      </c>
      <c r="J223" s="166">
        <v>105300000</v>
      </c>
      <c r="K223" s="166">
        <f t="shared" si="33"/>
        <v>11583000</v>
      </c>
      <c r="L223" s="167">
        <f t="shared" si="35"/>
        <v>116883000</v>
      </c>
      <c r="M223" s="160" t="s">
        <v>840</v>
      </c>
      <c r="N223" s="166">
        <v>116793000</v>
      </c>
      <c r="O223" s="167">
        <f t="shared" si="34"/>
        <v>90000</v>
      </c>
      <c r="P223" s="165" t="s">
        <v>795</v>
      </c>
    </row>
    <row r="224" spans="1:16" s="169" customFormat="1" x14ac:dyDescent="0.35">
      <c r="A224" s="160">
        <v>26</v>
      </c>
      <c r="B224" s="161" t="s">
        <v>106</v>
      </c>
      <c r="C224" s="142" t="s">
        <v>799</v>
      </c>
      <c r="D224" s="162">
        <v>45859</v>
      </c>
      <c r="E224" s="163">
        <v>45860</v>
      </c>
      <c r="F224" s="164" t="s">
        <v>821</v>
      </c>
      <c r="G224" s="183" t="s">
        <v>822</v>
      </c>
      <c r="H224" s="162">
        <v>45845</v>
      </c>
      <c r="I224" s="176">
        <v>1078365000</v>
      </c>
      <c r="J224" s="166">
        <v>291450000</v>
      </c>
      <c r="K224" s="166">
        <f t="shared" si="33"/>
        <v>32059500</v>
      </c>
      <c r="L224" s="167">
        <f t="shared" si="35"/>
        <v>323509500</v>
      </c>
      <c r="M224" s="160" t="s">
        <v>840</v>
      </c>
      <c r="N224" s="166">
        <v>322363560</v>
      </c>
      <c r="O224" s="167">
        <f t="shared" si="34"/>
        <v>1145940</v>
      </c>
      <c r="P224" s="165" t="s">
        <v>841</v>
      </c>
    </row>
    <row r="225" spans="1:16" s="169" customFormat="1" x14ac:dyDescent="0.35">
      <c r="A225" s="160">
        <v>27</v>
      </c>
      <c r="B225" s="161" t="s">
        <v>225</v>
      </c>
      <c r="C225" s="142" t="s">
        <v>800</v>
      </c>
      <c r="D225" s="162">
        <v>45859</v>
      </c>
      <c r="E225" s="163">
        <v>45860</v>
      </c>
      <c r="F225" s="164" t="s">
        <v>823</v>
      </c>
      <c r="G225" s="165" t="s">
        <v>232</v>
      </c>
      <c r="H225" s="162">
        <v>45447</v>
      </c>
      <c r="I225" s="166">
        <v>109890000</v>
      </c>
      <c r="J225" s="166">
        <v>11000000</v>
      </c>
      <c r="K225" s="166">
        <f t="shared" si="33"/>
        <v>1210000</v>
      </c>
      <c r="L225" s="167">
        <f t="shared" si="35"/>
        <v>12210000</v>
      </c>
      <c r="M225" s="160" t="s">
        <v>1131</v>
      </c>
      <c r="N225" s="166">
        <v>10780000</v>
      </c>
      <c r="O225" s="167">
        <f t="shared" si="34"/>
        <v>1430000</v>
      </c>
      <c r="P225" s="165" t="s">
        <v>457</v>
      </c>
    </row>
    <row r="226" spans="1:16" s="169" customFormat="1" x14ac:dyDescent="0.35">
      <c r="A226" s="160">
        <v>28</v>
      </c>
      <c r="B226" s="161" t="s">
        <v>198</v>
      </c>
      <c r="C226" s="142" t="s">
        <v>801</v>
      </c>
      <c r="D226" s="162">
        <v>45859</v>
      </c>
      <c r="E226" s="163">
        <v>45860</v>
      </c>
      <c r="F226" s="164" t="s">
        <v>824</v>
      </c>
      <c r="G226" s="165" t="s">
        <v>200</v>
      </c>
      <c r="H226" s="163">
        <v>45656</v>
      </c>
      <c r="I226" s="166">
        <v>41292000</v>
      </c>
      <c r="J226" s="166">
        <v>7800000</v>
      </c>
      <c r="K226" s="166">
        <f t="shared" si="33"/>
        <v>858000</v>
      </c>
      <c r="L226" s="167">
        <f t="shared" si="35"/>
        <v>8658000</v>
      </c>
      <c r="M226" s="160" t="s">
        <v>962</v>
      </c>
      <c r="N226" s="166">
        <v>8502000</v>
      </c>
      <c r="O226" s="167">
        <f t="shared" si="34"/>
        <v>156000</v>
      </c>
      <c r="P226" s="165" t="s">
        <v>206</v>
      </c>
    </row>
    <row r="227" spans="1:16" s="169" customFormat="1" x14ac:dyDescent="0.35">
      <c r="A227" s="160">
        <v>29</v>
      </c>
      <c r="B227" s="161" t="s">
        <v>150</v>
      </c>
      <c r="C227" s="142" t="s">
        <v>802</v>
      </c>
      <c r="D227" s="162">
        <v>45859</v>
      </c>
      <c r="E227" s="163">
        <v>45860</v>
      </c>
      <c r="F227" s="164" t="s">
        <v>825</v>
      </c>
      <c r="G227" s="183" t="s">
        <v>152</v>
      </c>
      <c r="H227" s="162">
        <v>45589</v>
      </c>
      <c r="I227" s="176">
        <v>21933600</v>
      </c>
      <c r="J227" s="166">
        <v>3293333</v>
      </c>
      <c r="K227" s="166">
        <f t="shared" si="33"/>
        <v>362266.63</v>
      </c>
      <c r="L227" s="167">
        <f t="shared" si="35"/>
        <v>3655599.63</v>
      </c>
      <c r="M227" s="160" t="s">
        <v>960</v>
      </c>
      <c r="N227" s="166">
        <v>3589733</v>
      </c>
      <c r="O227" s="167">
        <f t="shared" si="34"/>
        <v>65866.629999999888</v>
      </c>
      <c r="P227" s="165" t="s">
        <v>206</v>
      </c>
    </row>
    <row r="228" spans="1:16" s="169" customFormat="1" x14ac:dyDescent="0.35">
      <c r="A228" s="160">
        <v>30</v>
      </c>
      <c r="B228" s="161" t="s">
        <v>44</v>
      </c>
      <c r="C228" s="142" t="s">
        <v>803</v>
      </c>
      <c r="D228" s="162">
        <v>45860</v>
      </c>
      <c r="E228" s="163">
        <v>45860</v>
      </c>
      <c r="F228" s="164" t="s">
        <v>937</v>
      </c>
      <c r="G228" s="165" t="s">
        <v>236</v>
      </c>
      <c r="H228" s="162">
        <v>45664</v>
      </c>
      <c r="I228" s="166">
        <v>809190000</v>
      </c>
      <c r="J228" s="166">
        <v>60750000</v>
      </c>
      <c r="K228" s="166">
        <f t="shared" si="33"/>
        <v>6682500</v>
      </c>
      <c r="L228" s="167">
        <f t="shared" si="35"/>
        <v>67432500</v>
      </c>
      <c r="M228" s="160" t="s">
        <v>965</v>
      </c>
      <c r="N228" s="166">
        <v>66217500</v>
      </c>
      <c r="O228" s="167">
        <f t="shared" si="34"/>
        <v>1215000</v>
      </c>
      <c r="P228" s="165" t="s">
        <v>206</v>
      </c>
    </row>
    <row r="229" spans="1:16" s="169" customFormat="1" ht="48" x14ac:dyDescent="0.35">
      <c r="A229" s="160">
        <v>31</v>
      </c>
      <c r="B229" s="161" t="s">
        <v>807</v>
      </c>
      <c r="C229" s="160" t="s">
        <v>808</v>
      </c>
      <c r="D229" s="162">
        <v>45859</v>
      </c>
      <c r="E229" s="163">
        <v>45861</v>
      </c>
      <c r="F229" s="164" t="s">
        <v>804</v>
      </c>
      <c r="G229" s="165" t="s">
        <v>805</v>
      </c>
      <c r="H229" s="162">
        <v>45855</v>
      </c>
      <c r="I229" s="166">
        <v>266644755</v>
      </c>
      <c r="J229" s="166">
        <v>214030500</v>
      </c>
      <c r="K229" s="166">
        <f t="shared" ref="K229:K235" si="36">J229*11%</f>
        <v>23543355</v>
      </c>
      <c r="L229" s="167">
        <f>J229+K229</f>
        <v>237573855</v>
      </c>
      <c r="M229" s="160" t="s">
        <v>806</v>
      </c>
      <c r="N229" s="168">
        <v>237573855</v>
      </c>
      <c r="O229" s="167">
        <f t="shared" ref="O229:O235" si="37">L229-N229</f>
        <v>0</v>
      </c>
      <c r="P229" s="165"/>
    </row>
    <row r="230" spans="1:16" s="169" customFormat="1" ht="24" x14ac:dyDescent="0.35">
      <c r="A230" s="160">
        <v>32</v>
      </c>
      <c r="B230" s="161" t="s">
        <v>826</v>
      </c>
      <c r="C230" s="142" t="s">
        <v>809</v>
      </c>
      <c r="D230" s="162">
        <v>45860</v>
      </c>
      <c r="E230" s="163">
        <v>45861</v>
      </c>
      <c r="F230" s="164" t="s">
        <v>827</v>
      </c>
      <c r="G230" s="165" t="s">
        <v>437</v>
      </c>
      <c r="H230" s="162">
        <v>45735</v>
      </c>
      <c r="I230" s="166">
        <v>177600000</v>
      </c>
      <c r="J230" s="166">
        <v>80000000</v>
      </c>
      <c r="K230" s="166">
        <f t="shared" si="36"/>
        <v>8800000</v>
      </c>
      <c r="L230" s="167">
        <f t="shared" ref="L230:L235" si="38">J230+K230</f>
        <v>88800000</v>
      </c>
      <c r="M230" s="160" t="s">
        <v>851</v>
      </c>
      <c r="N230" s="168">
        <v>88785000</v>
      </c>
      <c r="O230" s="167">
        <f t="shared" si="37"/>
        <v>15000</v>
      </c>
      <c r="P230" s="165" t="s">
        <v>797</v>
      </c>
    </row>
    <row r="231" spans="1:16" s="169" customFormat="1" ht="72" x14ac:dyDescent="0.35">
      <c r="A231" s="160">
        <v>33</v>
      </c>
      <c r="B231" s="161" t="s">
        <v>828</v>
      </c>
      <c r="C231" s="142" t="s">
        <v>810</v>
      </c>
      <c r="D231" s="162">
        <v>45860</v>
      </c>
      <c r="E231" s="163">
        <v>45861</v>
      </c>
      <c r="F231" s="164" t="s">
        <v>829</v>
      </c>
      <c r="G231" s="165">
        <v>4515700569</v>
      </c>
      <c r="H231" s="162">
        <v>45575</v>
      </c>
      <c r="I231" s="166">
        <v>1699683800</v>
      </c>
      <c r="J231" s="166">
        <v>1147913333</v>
      </c>
      <c r="K231" s="166">
        <f t="shared" si="36"/>
        <v>126270466.63</v>
      </c>
      <c r="L231" s="167">
        <f t="shared" si="38"/>
        <v>1274183799.6300001</v>
      </c>
      <c r="M231" s="160" t="s">
        <v>1220</v>
      </c>
      <c r="N231" s="168">
        <v>1271646300</v>
      </c>
      <c r="O231" s="167">
        <f t="shared" si="37"/>
        <v>2537499.6300001144</v>
      </c>
      <c r="P231" s="165" t="s">
        <v>1160</v>
      </c>
    </row>
    <row r="232" spans="1:16" s="169" customFormat="1" ht="24" x14ac:dyDescent="0.35">
      <c r="A232" s="160">
        <v>34</v>
      </c>
      <c r="B232" s="161" t="s">
        <v>830</v>
      </c>
      <c r="C232" s="142" t="s">
        <v>811</v>
      </c>
      <c r="D232" s="162">
        <v>45860</v>
      </c>
      <c r="E232" s="163">
        <v>45861</v>
      </c>
      <c r="F232" s="164" t="s">
        <v>831</v>
      </c>
      <c r="G232" s="165">
        <v>4515919260</v>
      </c>
      <c r="H232" s="162">
        <v>45700</v>
      </c>
      <c r="I232" s="166">
        <v>1033587600</v>
      </c>
      <c r="J232" s="166">
        <v>329200000</v>
      </c>
      <c r="K232" s="166">
        <f t="shared" si="36"/>
        <v>36212000</v>
      </c>
      <c r="L232" s="167">
        <f t="shared" si="38"/>
        <v>365412000</v>
      </c>
      <c r="M232" s="252" t="s">
        <v>1445</v>
      </c>
      <c r="N232" s="254">
        <v>607980200</v>
      </c>
      <c r="O232" s="249">
        <f>L232+L233-N232</f>
        <v>11155600</v>
      </c>
      <c r="P232" s="165" t="s">
        <v>1446</v>
      </c>
    </row>
    <row r="233" spans="1:16" s="169" customFormat="1" ht="24" x14ac:dyDescent="0.35">
      <c r="A233" s="160">
        <v>35</v>
      </c>
      <c r="B233" s="161" t="s">
        <v>832</v>
      </c>
      <c r="C233" s="142" t="s">
        <v>812</v>
      </c>
      <c r="D233" s="162">
        <v>45860</v>
      </c>
      <c r="E233" s="163">
        <v>45861</v>
      </c>
      <c r="F233" s="164" t="s">
        <v>833</v>
      </c>
      <c r="G233" s="165">
        <v>4515962166</v>
      </c>
      <c r="H233" s="162">
        <v>45700</v>
      </c>
      <c r="I233" s="166">
        <v>646957173</v>
      </c>
      <c r="J233" s="166">
        <v>228580000</v>
      </c>
      <c r="K233" s="166">
        <f t="shared" si="36"/>
        <v>25143800</v>
      </c>
      <c r="L233" s="167">
        <f t="shared" si="38"/>
        <v>253723800</v>
      </c>
      <c r="M233" s="253"/>
      <c r="N233" s="255"/>
      <c r="O233" s="251"/>
      <c r="P233" s="165" t="s">
        <v>1447</v>
      </c>
    </row>
    <row r="234" spans="1:16" s="169" customFormat="1" ht="24" x14ac:dyDescent="0.35">
      <c r="A234" s="160">
        <v>36</v>
      </c>
      <c r="B234" s="161" t="s">
        <v>834</v>
      </c>
      <c r="C234" s="142" t="s">
        <v>813</v>
      </c>
      <c r="D234" s="162">
        <v>45860</v>
      </c>
      <c r="E234" s="163">
        <v>45861</v>
      </c>
      <c r="F234" s="164" t="s">
        <v>835</v>
      </c>
      <c r="G234" s="165" t="s">
        <v>836</v>
      </c>
      <c r="H234" s="162">
        <v>45860</v>
      </c>
      <c r="I234" s="166">
        <v>37185000</v>
      </c>
      <c r="J234" s="166">
        <v>33500000</v>
      </c>
      <c r="K234" s="166">
        <f t="shared" si="36"/>
        <v>3685000</v>
      </c>
      <c r="L234" s="167">
        <f t="shared" si="38"/>
        <v>37185000</v>
      </c>
      <c r="M234" s="160" t="s">
        <v>846</v>
      </c>
      <c r="N234" s="168">
        <v>36515000</v>
      </c>
      <c r="O234" s="167">
        <f t="shared" si="37"/>
        <v>670000</v>
      </c>
      <c r="P234" s="165" t="s">
        <v>206</v>
      </c>
    </row>
    <row r="235" spans="1:16" s="169" customFormat="1" x14ac:dyDescent="0.35">
      <c r="A235" s="160">
        <v>37</v>
      </c>
      <c r="B235" s="161" t="s">
        <v>308</v>
      </c>
      <c r="C235" s="142" t="s">
        <v>814</v>
      </c>
      <c r="D235" s="162">
        <v>45861</v>
      </c>
      <c r="E235" s="163">
        <v>45863</v>
      </c>
      <c r="F235" s="164" t="s">
        <v>837</v>
      </c>
      <c r="G235" s="165" t="s">
        <v>838</v>
      </c>
      <c r="H235" s="162">
        <v>45855</v>
      </c>
      <c r="I235" s="166">
        <v>107670000</v>
      </c>
      <c r="J235" s="166">
        <v>97000000</v>
      </c>
      <c r="K235" s="166">
        <f t="shared" si="36"/>
        <v>10670000</v>
      </c>
      <c r="L235" s="167">
        <f t="shared" si="38"/>
        <v>107670000</v>
      </c>
      <c r="M235" s="160" t="s">
        <v>1443</v>
      </c>
      <c r="N235" s="168">
        <f>95060000+10670000</f>
        <v>105730000</v>
      </c>
      <c r="O235" s="167">
        <f t="shared" si="37"/>
        <v>1940000</v>
      </c>
      <c r="P235" s="165" t="s">
        <v>1241</v>
      </c>
    </row>
    <row r="236" spans="1:16" s="169" customFormat="1" ht="40" customHeight="1" x14ac:dyDescent="0.35">
      <c r="A236" s="160">
        <v>38</v>
      </c>
      <c r="B236" s="161" t="s">
        <v>254</v>
      </c>
      <c r="C236" s="142" t="s">
        <v>815</v>
      </c>
      <c r="D236" s="162">
        <v>45861</v>
      </c>
      <c r="E236" s="163">
        <v>45862</v>
      </c>
      <c r="F236" s="164" t="s">
        <v>839</v>
      </c>
      <c r="G236" s="165">
        <v>4515903736</v>
      </c>
      <c r="H236" s="162">
        <v>45656</v>
      </c>
      <c r="I236" s="166">
        <v>5033850000</v>
      </c>
      <c r="J236" s="166">
        <v>505000000</v>
      </c>
      <c r="K236" s="166">
        <f t="shared" si="33"/>
        <v>55550000</v>
      </c>
      <c r="L236" s="167">
        <f>J236+K236</f>
        <v>560550000</v>
      </c>
      <c r="M236" s="160" t="s">
        <v>1220</v>
      </c>
      <c r="N236" s="168">
        <v>550450000</v>
      </c>
      <c r="O236" s="167">
        <f t="shared" si="34"/>
        <v>10100000</v>
      </c>
      <c r="P236" s="165" t="s">
        <v>1161</v>
      </c>
    </row>
    <row r="237" spans="1:16" s="169" customFormat="1" ht="75" customHeight="1" x14ac:dyDescent="0.35">
      <c r="A237" s="160">
        <v>39</v>
      </c>
      <c r="B237" s="161" t="s">
        <v>843</v>
      </c>
      <c r="C237" s="142" t="s">
        <v>844</v>
      </c>
      <c r="D237" s="162">
        <v>45863</v>
      </c>
      <c r="E237" s="163">
        <v>45863</v>
      </c>
      <c r="F237" s="164" t="s">
        <v>845</v>
      </c>
      <c r="G237" s="165">
        <v>4516242573</v>
      </c>
      <c r="H237" s="162">
        <v>45796</v>
      </c>
      <c r="I237" s="166">
        <v>1332000000</v>
      </c>
      <c r="J237" s="166">
        <v>680000000</v>
      </c>
      <c r="K237" s="166">
        <f t="shared" si="33"/>
        <v>74800000</v>
      </c>
      <c r="L237" s="167">
        <f>J237+K237</f>
        <v>754800000</v>
      </c>
      <c r="M237" s="160" t="s">
        <v>1445</v>
      </c>
      <c r="N237" s="168">
        <v>741200000</v>
      </c>
      <c r="O237" s="167">
        <f t="shared" si="34"/>
        <v>13600000</v>
      </c>
      <c r="P237" s="165" t="s">
        <v>206</v>
      </c>
    </row>
    <row r="238" spans="1:16" s="169" customFormat="1" ht="15" customHeight="1" x14ac:dyDescent="0.35">
      <c r="A238" s="160">
        <v>40</v>
      </c>
      <c r="B238" s="161" t="s">
        <v>526</v>
      </c>
      <c r="C238" s="160" t="s">
        <v>849</v>
      </c>
      <c r="D238" s="187">
        <v>45869</v>
      </c>
      <c r="E238" s="187">
        <v>45869</v>
      </c>
      <c r="F238" s="171" t="s">
        <v>850</v>
      </c>
      <c r="G238" s="165" t="s">
        <v>528</v>
      </c>
      <c r="H238" s="162">
        <v>45680</v>
      </c>
      <c r="I238" s="166">
        <v>483960000</v>
      </c>
      <c r="J238" s="166">
        <v>130800000</v>
      </c>
      <c r="K238" s="166">
        <f t="shared" si="33"/>
        <v>14388000</v>
      </c>
      <c r="L238" s="167">
        <f>J238+K238</f>
        <v>145188000</v>
      </c>
      <c r="M238" s="160" t="s">
        <v>852</v>
      </c>
      <c r="N238" s="168">
        <v>145188000</v>
      </c>
      <c r="O238" s="167">
        <f t="shared" si="34"/>
        <v>0</v>
      </c>
      <c r="P238" s="165"/>
    </row>
    <row r="239" spans="1:16" s="169" customFormat="1" ht="15" customHeight="1" x14ac:dyDescent="0.35">
      <c r="A239" s="160">
        <v>41</v>
      </c>
      <c r="B239" s="161" t="s">
        <v>396</v>
      </c>
      <c r="C239" s="160" t="s">
        <v>866</v>
      </c>
      <c r="D239" s="187">
        <v>45868</v>
      </c>
      <c r="E239" s="187">
        <v>45880</v>
      </c>
      <c r="F239" s="171" t="s">
        <v>875</v>
      </c>
      <c r="G239" s="165" t="s">
        <v>231</v>
      </c>
      <c r="H239" s="163">
        <v>45586</v>
      </c>
      <c r="I239" s="166">
        <v>1232100000</v>
      </c>
      <c r="J239" s="166">
        <v>180180180</v>
      </c>
      <c r="K239" s="166">
        <f t="shared" si="33"/>
        <v>19819819.800000001</v>
      </c>
      <c r="L239" s="167">
        <f>J239+K239</f>
        <v>199999999.80000001</v>
      </c>
      <c r="M239" s="160" t="s">
        <v>876</v>
      </c>
      <c r="N239" s="168">
        <v>199997100</v>
      </c>
      <c r="O239" s="167">
        <f t="shared" si="34"/>
        <v>2899.8000000119209</v>
      </c>
      <c r="P239" s="165" t="s">
        <v>359</v>
      </c>
    </row>
    <row r="240" spans="1:16" s="17" customFormat="1" ht="29.25" customHeight="1" x14ac:dyDescent="0.35">
      <c r="A240" s="279" t="s">
        <v>38</v>
      </c>
      <c r="B240" s="280"/>
      <c r="C240" s="280"/>
      <c r="D240" s="280"/>
      <c r="E240" s="280"/>
      <c r="F240" s="280"/>
      <c r="G240" s="280"/>
      <c r="H240" s="281"/>
      <c r="I240" s="61">
        <f>SUM(I199:I239)</f>
        <v>31006446697</v>
      </c>
      <c r="J240" s="61">
        <f>SUM(J199:J239)</f>
        <v>6702886343</v>
      </c>
      <c r="K240" s="61">
        <f>SUM(K199:K239)</f>
        <v>737317497.73000002</v>
      </c>
      <c r="L240" s="68">
        <f>SUM(L199:L239)</f>
        <v>7440203840.7300005</v>
      </c>
      <c r="M240" s="46"/>
      <c r="N240" s="47">
        <f>SUM(N199:N239)</f>
        <v>7358839207</v>
      </c>
      <c r="O240" s="61">
        <f>SUM(O199:O239)</f>
        <v>81364633.730000138</v>
      </c>
      <c r="P240" s="149"/>
    </row>
    <row r="241" spans="1:16" s="17" customFormat="1" ht="29.25" customHeight="1" x14ac:dyDescent="0.35">
      <c r="A241" s="51"/>
      <c r="B241" s="40"/>
      <c r="C241" s="51"/>
      <c r="D241" s="53"/>
      <c r="E241" s="51"/>
      <c r="F241" s="40"/>
      <c r="G241" s="51"/>
      <c r="H241" s="51"/>
      <c r="I241" s="63"/>
      <c r="J241" s="63"/>
      <c r="K241" s="63"/>
      <c r="L241" s="64"/>
      <c r="M241" s="51"/>
      <c r="N241" s="54"/>
      <c r="O241" s="40"/>
      <c r="P241" s="52"/>
    </row>
    <row r="242" spans="1:16" s="169" customFormat="1" ht="24" x14ac:dyDescent="0.35">
      <c r="A242" s="160">
        <v>1</v>
      </c>
      <c r="B242" s="161" t="s">
        <v>145</v>
      </c>
      <c r="C242" s="160" t="s">
        <v>867</v>
      </c>
      <c r="D242" s="162">
        <v>45880</v>
      </c>
      <c r="E242" s="163">
        <v>45881</v>
      </c>
      <c r="F242" s="164" t="s">
        <v>877</v>
      </c>
      <c r="G242" s="183" t="s">
        <v>146</v>
      </c>
      <c r="H242" s="162">
        <v>45166</v>
      </c>
      <c r="I242" s="176">
        <v>6284642400</v>
      </c>
      <c r="J242" s="166">
        <v>235910000</v>
      </c>
      <c r="K242" s="166">
        <f t="shared" ref="K242:K262" si="39">J242*11%</f>
        <v>25950100</v>
      </c>
      <c r="L242" s="167">
        <f t="shared" ref="L242:L262" si="40">J242+K242</f>
        <v>261860100</v>
      </c>
      <c r="M242" s="160" t="s">
        <v>878</v>
      </c>
      <c r="N242" s="168">
        <v>261860100</v>
      </c>
      <c r="O242" s="167">
        <f t="shared" ref="O242:O262" si="41">L242-N242</f>
        <v>0</v>
      </c>
      <c r="P242" s="165"/>
    </row>
    <row r="243" spans="1:16" s="169" customFormat="1" x14ac:dyDescent="0.35">
      <c r="A243" s="160">
        <v>2</v>
      </c>
      <c r="B243" s="161" t="s">
        <v>345</v>
      </c>
      <c r="C243" s="108" t="s">
        <v>868</v>
      </c>
      <c r="D243" s="162">
        <v>45880</v>
      </c>
      <c r="E243" s="163">
        <v>45881</v>
      </c>
      <c r="F243" s="164" t="s">
        <v>879</v>
      </c>
      <c r="G243" s="165" t="s">
        <v>880</v>
      </c>
      <c r="H243" s="163">
        <v>45869</v>
      </c>
      <c r="I243" s="166">
        <v>54129150</v>
      </c>
      <c r="J243" s="166">
        <v>14629500</v>
      </c>
      <c r="K243" s="166">
        <f t="shared" si="39"/>
        <v>1609245</v>
      </c>
      <c r="L243" s="167">
        <f t="shared" si="40"/>
        <v>16238745</v>
      </c>
      <c r="M243" s="160" t="s">
        <v>891</v>
      </c>
      <c r="N243" s="168">
        <v>15919145</v>
      </c>
      <c r="O243" s="167">
        <f t="shared" si="41"/>
        <v>319600</v>
      </c>
      <c r="P243" s="165" t="s">
        <v>892</v>
      </c>
    </row>
    <row r="244" spans="1:16" s="169" customFormat="1" ht="24" x14ac:dyDescent="0.35">
      <c r="A244" s="197">
        <v>3</v>
      </c>
      <c r="B244" s="161" t="s">
        <v>78</v>
      </c>
      <c r="C244" s="108" t="s">
        <v>869</v>
      </c>
      <c r="D244" s="162">
        <v>45880</v>
      </c>
      <c r="E244" s="163">
        <v>45881</v>
      </c>
      <c r="F244" s="164" t="s">
        <v>883</v>
      </c>
      <c r="G244" s="165" t="s">
        <v>881</v>
      </c>
      <c r="H244" s="162">
        <v>45838</v>
      </c>
      <c r="I244" s="166">
        <v>47952000</v>
      </c>
      <c r="J244" s="176">
        <v>10800000</v>
      </c>
      <c r="K244" s="166">
        <f t="shared" si="39"/>
        <v>1188000</v>
      </c>
      <c r="L244" s="167">
        <f t="shared" si="40"/>
        <v>11988000</v>
      </c>
      <c r="M244" s="197" t="s">
        <v>1142</v>
      </c>
      <c r="N244" s="198">
        <v>11772000</v>
      </c>
      <c r="O244" s="167">
        <f t="shared" si="41"/>
        <v>216000</v>
      </c>
      <c r="P244" s="183" t="s">
        <v>206</v>
      </c>
    </row>
    <row r="245" spans="1:16" s="169" customFormat="1" ht="24" x14ac:dyDescent="0.35">
      <c r="A245" s="160">
        <v>4</v>
      </c>
      <c r="B245" s="161" t="s">
        <v>78</v>
      </c>
      <c r="C245" s="108" t="s">
        <v>870</v>
      </c>
      <c r="D245" s="162">
        <v>45880</v>
      </c>
      <c r="E245" s="163">
        <v>45881</v>
      </c>
      <c r="F245" s="194" t="s">
        <v>882</v>
      </c>
      <c r="G245" s="165" t="s">
        <v>884</v>
      </c>
      <c r="H245" s="162">
        <v>45838</v>
      </c>
      <c r="I245" s="166">
        <v>22200000</v>
      </c>
      <c r="J245" s="166">
        <v>5000000</v>
      </c>
      <c r="K245" s="166">
        <f t="shared" si="39"/>
        <v>550000</v>
      </c>
      <c r="L245" s="167">
        <f t="shared" si="40"/>
        <v>5550000</v>
      </c>
      <c r="M245" s="160" t="s">
        <v>1142</v>
      </c>
      <c r="N245" s="168">
        <v>5450000</v>
      </c>
      <c r="O245" s="167">
        <f t="shared" si="41"/>
        <v>100000</v>
      </c>
      <c r="P245" s="165" t="s">
        <v>206</v>
      </c>
    </row>
    <row r="246" spans="1:16" s="169" customFormat="1" x14ac:dyDescent="0.35">
      <c r="A246" s="160">
        <v>5</v>
      </c>
      <c r="B246" s="161" t="s">
        <v>874</v>
      </c>
      <c r="C246" s="197" t="s">
        <v>871</v>
      </c>
      <c r="D246" s="162">
        <v>45880</v>
      </c>
      <c r="E246" s="163">
        <v>45881</v>
      </c>
      <c r="F246" s="194" t="s">
        <v>885</v>
      </c>
      <c r="G246" s="164" t="s">
        <v>886</v>
      </c>
      <c r="H246" s="162">
        <v>45840</v>
      </c>
      <c r="I246" s="166">
        <v>8880000</v>
      </c>
      <c r="J246" s="166">
        <v>8000000</v>
      </c>
      <c r="K246" s="166">
        <f t="shared" si="39"/>
        <v>880000</v>
      </c>
      <c r="L246" s="167">
        <f t="shared" si="40"/>
        <v>8880000</v>
      </c>
      <c r="M246" s="160" t="s">
        <v>1142</v>
      </c>
      <c r="N246" s="168">
        <v>8880000</v>
      </c>
      <c r="O246" s="167">
        <f t="shared" si="41"/>
        <v>0</v>
      </c>
      <c r="P246" s="165"/>
    </row>
    <row r="247" spans="1:16" s="169" customFormat="1" ht="48" x14ac:dyDescent="0.35">
      <c r="A247" s="160">
        <v>6</v>
      </c>
      <c r="B247" s="161" t="s">
        <v>637</v>
      </c>
      <c r="C247" s="214" t="s">
        <v>872</v>
      </c>
      <c r="D247" s="162">
        <v>45880</v>
      </c>
      <c r="E247" s="163">
        <v>45882</v>
      </c>
      <c r="F247" s="194" t="s">
        <v>888</v>
      </c>
      <c r="G247" s="165" t="s">
        <v>887</v>
      </c>
      <c r="H247" s="162">
        <v>45842</v>
      </c>
      <c r="I247" s="166">
        <v>177600000</v>
      </c>
      <c r="J247" s="166">
        <v>160000000</v>
      </c>
      <c r="K247" s="166">
        <f t="shared" si="39"/>
        <v>17600000</v>
      </c>
      <c r="L247" s="167">
        <f t="shared" si="40"/>
        <v>177600000</v>
      </c>
      <c r="M247" s="160" t="s">
        <v>1148</v>
      </c>
      <c r="N247" s="168">
        <v>177600000</v>
      </c>
      <c r="O247" s="167">
        <f t="shared" si="41"/>
        <v>0</v>
      </c>
      <c r="P247" s="165"/>
    </row>
    <row r="248" spans="1:16" s="169" customFormat="1" x14ac:dyDescent="0.35">
      <c r="A248" s="160">
        <v>7</v>
      </c>
      <c r="B248" s="173" t="s">
        <v>618</v>
      </c>
      <c r="C248" s="108" t="s">
        <v>873</v>
      </c>
      <c r="D248" s="162">
        <v>45880</v>
      </c>
      <c r="E248" s="163">
        <v>45881</v>
      </c>
      <c r="F248" s="171" t="s">
        <v>889</v>
      </c>
      <c r="G248" s="165" t="s">
        <v>890</v>
      </c>
      <c r="H248" s="162">
        <v>45861</v>
      </c>
      <c r="I248" s="166">
        <v>5550000</v>
      </c>
      <c r="J248" s="166">
        <v>5000000</v>
      </c>
      <c r="K248" s="166">
        <f t="shared" si="39"/>
        <v>550000</v>
      </c>
      <c r="L248" s="167">
        <f t="shared" si="40"/>
        <v>5550000</v>
      </c>
      <c r="M248" s="160" t="s">
        <v>1212</v>
      </c>
      <c r="N248" s="166">
        <v>5450000</v>
      </c>
      <c r="O248" s="167">
        <f t="shared" si="41"/>
        <v>100000</v>
      </c>
      <c r="P248" s="165" t="s">
        <v>206</v>
      </c>
    </row>
    <row r="249" spans="1:16" s="169" customFormat="1" x14ac:dyDescent="0.35">
      <c r="A249" s="160">
        <v>8</v>
      </c>
      <c r="B249" s="173" t="s">
        <v>526</v>
      </c>
      <c r="C249" s="192" t="s">
        <v>893</v>
      </c>
      <c r="D249" s="175">
        <v>45883</v>
      </c>
      <c r="E249" s="175">
        <v>45883</v>
      </c>
      <c r="F249" s="171" t="s">
        <v>899</v>
      </c>
      <c r="G249" s="165" t="s">
        <v>528</v>
      </c>
      <c r="H249" s="162">
        <v>45680</v>
      </c>
      <c r="I249" s="166">
        <v>483960000</v>
      </c>
      <c r="J249" s="166">
        <v>174400000</v>
      </c>
      <c r="K249" s="166">
        <f t="shared" ref="K249:K256" si="42">J249*11%</f>
        <v>19184000</v>
      </c>
      <c r="L249" s="167">
        <f t="shared" ref="L249:L256" si="43">J249+K249</f>
        <v>193584000</v>
      </c>
      <c r="M249" s="160" t="s">
        <v>898</v>
      </c>
      <c r="N249" s="166">
        <v>193584000</v>
      </c>
      <c r="O249" s="167">
        <f t="shared" ref="O249" si="44">L249-N249</f>
        <v>0</v>
      </c>
      <c r="P249" s="165"/>
    </row>
    <row r="250" spans="1:16" s="169" customFormat="1" x14ac:dyDescent="0.35">
      <c r="A250" s="160">
        <v>9</v>
      </c>
      <c r="B250" s="161" t="s">
        <v>250</v>
      </c>
      <c r="C250" s="142" t="s">
        <v>894</v>
      </c>
      <c r="D250" s="162">
        <v>45883</v>
      </c>
      <c r="E250" s="163">
        <v>45884</v>
      </c>
      <c r="F250" s="194" t="s">
        <v>896</v>
      </c>
      <c r="G250" s="165">
        <v>4515687061</v>
      </c>
      <c r="H250" s="162">
        <v>45575</v>
      </c>
      <c r="I250" s="166">
        <v>1699683800</v>
      </c>
      <c r="J250" s="166">
        <v>50000000</v>
      </c>
      <c r="K250" s="166">
        <f t="shared" ref="K250:K255" si="45">J250*11%</f>
        <v>5500000</v>
      </c>
      <c r="L250" s="167">
        <f t="shared" ref="L250:L254" si="46">J250+K250</f>
        <v>55500000</v>
      </c>
      <c r="M250" s="160" t="s">
        <v>1445</v>
      </c>
      <c r="N250" s="166">
        <v>54500000</v>
      </c>
      <c r="O250" s="167">
        <f t="shared" ref="O250:O252" si="47">L250-N250</f>
        <v>1000000</v>
      </c>
      <c r="P250" s="165" t="s">
        <v>206</v>
      </c>
    </row>
    <row r="251" spans="1:16" s="17" customFormat="1" ht="36" x14ac:dyDescent="0.35">
      <c r="A251" s="99">
        <v>10</v>
      </c>
      <c r="B251" s="101" t="s">
        <v>162</v>
      </c>
      <c r="C251" s="99" t="s">
        <v>895</v>
      </c>
      <c r="D251" s="102">
        <v>45883</v>
      </c>
      <c r="E251" s="93">
        <v>45884</v>
      </c>
      <c r="F251" s="111" t="s">
        <v>897</v>
      </c>
      <c r="G251" s="92">
        <v>4516541763</v>
      </c>
      <c r="H251" s="102">
        <v>45866</v>
      </c>
      <c r="I251" s="94">
        <v>1137750000</v>
      </c>
      <c r="J251" s="94">
        <v>1025000000</v>
      </c>
      <c r="K251" s="94">
        <f t="shared" si="45"/>
        <v>112750000</v>
      </c>
      <c r="L251" s="103">
        <f t="shared" si="46"/>
        <v>1137750000</v>
      </c>
      <c r="M251" s="99"/>
      <c r="N251" s="94"/>
      <c r="O251" s="103">
        <f t="shared" si="47"/>
        <v>1137750000</v>
      </c>
      <c r="P251" s="92"/>
    </row>
    <row r="252" spans="1:16" s="17" customFormat="1" ht="48" x14ac:dyDescent="0.35">
      <c r="A252" s="99">
        <v>11</v>
      </c>
      <c r="B252" s="101" t="s">
        <v>900</v>
      </c>
      <c r="C252" s="99" t="s">
        <v>901</v>
      </c>
      <c r="D252" s="102">
        <v>45888</v>
      </c>
      <c r="E252" s="93">
        <v>45889</v>
      </c>
      <c r="F252" s="111" t="s">
        <v>908</v>
      </c>
      <c r="G252" s="92">
        <v>4516288739</v>
      </c>
      <c r="H252" s="102">
        <v>45796</v>
      </c>
      <c r="I252" s="94">
        <v>2150292000</v>
      </c>
      <c r="J252" s="94">
        <v>700030872</v>
      </c>
      <c r="K252" s="94">
        <f t="shared" si="45"/>
        <v>77003395.920000002</v>
      </c>
      <c r="L252" s="103">
        <f t="shared" si="46"/>
        <v>777034267.91999996</v>
      </c>
      <c r="M252" s="99"/>
      <c r="N252" s="94"/>
      <c r="O252" s="103">
        <f t="shared" si="47"/>
        <v>777034267.91999996</v>
      </c>
      <c r="P252" s="92"/>
    </row>
    <row r="253" spans="1:16" s="169" customFormat="1" ht="24" x14ac:dyDescent="0.35">
      <c r="A253" s="160">
        <v>12</v>
      </c>
      <c r="B253" s="161" t="s">
        <v>339</v>
      </c>
      <c r="C253" s="142" t="s">
        <v>902</v>
      </c>
      <c r="D253" s="162">
        <v>45888</v>
      </c>
      <c r="E253" s="163">
        <v>45889</v>
      </c>
      <c r="F253" s="164" t="s">
        <v>909</v>
      </c>
      <c r="G253" s="165" t="s">
        <v>910</v>
      </c>
      <c r="H253" s="163">
        <v>45869</v>
      </c>
      <c r="I253" s="166">
        <v>8880000</v>
      </c>
      <c r="J253" s="166">
        <v>2400000</v>
      </c>
      <c r="K253" s="166">
        <f t="shared" si="45"/>
        <v>264000</v>
      </c>
      <c r="L253" s="167">
        <f t="shared" si="46"/>
        <v>2664000</v>
      </c>
      <c r="M253" s="252" t="s">
        <v>967</v>
      </c>
      <c r="N253" s="254">
        <v>334140000</v>
      </c>
      <c r="O253" s="249">
        <f>L253+L254-N253</f>
        <v>192000</v>
      </c>
      <c r="P253" s="165" t="s">
        <v>968</v>
      </c>
    </row>
    <row r="254" spans="1:16" s="169" customFormat="1" x14ac:dyDescent="0.35">
      <c r="A254" s="160">
        <v>13</v>
      </c>
      <c r="B254" s="161" t="s">
        <v>779</v>
      </c>
      <c r="C254" s="142" t="s">
        <v>903</v>
      </c>
      <c r="D254" s="162">
        <v>45888</v>
      </c>
      <c r="E254" s="163">
        <v>45889</v>
      </c>
      <c r="F254" s="164" t="s">
        <v>911</v>
      </c>
      <c r="G254" s="164" t="s">
        <v>912</v>
      </c>
      <c r="H254" s="163">
        <v>45880</v>
      </c>
      <c r="I254" s="176">
        <v>1105560000</v>
      </c>
      <c r="J254" s="166">
        <v>298800000</v>
      </c>
      <c r="K254" s="166">
        <f t="shared" si="45"/>
        <v>32868000</v>
      </c>
      <c r="L254" s="167">
        <f t="shared" si="46"/>
        <v>331668000</v>
      </c>
      <c r="M254" s="253"/>
      <c r="N254" s="255"/>
      <c r="O254" s="251"/>
      <c r="P254" s="165" t="s">
        <v>969</v>
      </c>
    </row>
    <row r="255" spans="1:16" s="169" customFormat="1" x14ac:dyDescent="0.35">
      <c r="A255" s="160">
        <v>14</v>
      </c>
      <c r="B255" s="161" t="s">
        <v>913</v>
      </c>
      <c r="C255" s="142" t="s">
        <v>904</v>
      </c>
      <c r="D255" s="162">
        <v>45888</v>
      </c>
      <c r="E255" s="163">
        <v>45894</v>
      </c>
      <c r="F255" s="164" t="s">
        <v>915</v>
      </c>
      <c r="G255" s="164" t="s">
        <v>102</v>
      </c>
      <c r="H255" s="163">
        <v>45660</v>
      </c>
      <c r="I255" s="176">
        <v>2254854000</v>
      </c>
      <c r="J255" s="166">
        <v>1421980000</v>
      </c>
      <c r="K255" s="166">
        <f t="shared" si="45"/>
        <v>156417800</v>
      </c>
      <c r="L255" s="167">
        <f t="shared" si="43"/>
        <v>1578397800</v>
      </c>
      <c r="M255" s="252" t="s">
        <v>984</v>
      </c>
      <c r="N255" s="254">
        <v>2999511890</v>
      </c>
      <c r="O255" s="249">
        <f>L255+L256+L257+L258-N255</f>
        <v>708220</v>
      </c>
      <c r="P255" s="165" t="s">
        <v>981</v>
      </c>
    </row>
    <row r="256" spans="1:16" s="169" customFormat="1" x14ac:dyDescent="0.35">
      <c r="A256" s="160">
        <v>15</v>
      </c>
      <c r="B256" s="161" t="s">
        <v>88</v>
      </c>
      <c r="C256" s="142" t="s">
        <v>905</v>
      </c>
      <c r="D256" s="162">
        <v>45888</v>
      </c>
      <c r="E256" s="163">
        <v>45889</v>
      </c>
      <c r="F256" s="171" t="s">
        <v>914</v>
      </c>
      <c r="G256" s="165" t="s">
        <v>916</v>
      </c>
      <c r="H256" s="163">
        <v>45660</v>
      </c>
      <c r="I256" s="166">
        <v>1130535000</v>
      </c>
      <c r="J256" s="166">
        <v>707550000</v>
      </c>
      <c r="K256" s="166">
        <f t="shared" si="42"/>
        <v>77830500</v>
      </c>
      <c r="L256" s="167">
        <f t="shared" si="43"/>
        <v>785380500</v>
      </c>
      <c r="M256" s="256"/>
      <c r="N256" s="257"/>
      <c r="O256" s="250"/>
      <c r="P256" s="165" t="s">
        <v>982</v>
      </c>
    </row>
    <row r="257" spans="1:17" s="169" customFormat="1" ht="48" x14ac:dyDescent="0.35">
      <c r="A257" s="160">
        <v>16</v>
      </c>
      <c r="B257" s="161" t="s">
        <v>106</v>
      </c>
      <c r="C257" s="142" t="s">
        <v>907</v>
      </c>
      <c r="D257" s="162">
        <v>45888</v>
      </c>
      <c r="E257" s="163">
        <v>45894</v>
      </c>
      <c r="F257" s="164" t="s">
        <v>917</v>
      </c>
      <c r="G257" s="165" t="s">
        <v>918</v>
      </c>
      <c r="H257" s="162">
        <v>44856</v>
      </c>
      <c r="I257" s="166">
        <v>3247860000</v>
      </c>
      <c r="J257" s="166">
        <v>166600000</v>
      </c>
      <c r="K257" s="166">
        <f t="shared" si="39"/>
        <v>18326000</v>
      </c>
      <c r="L257" s="167">
        <f t="shared" si="40"/>
        <v>184926000</v>
      </c>
      <c r="M257" s="256"/>
      <c r="N257" s="257"/>
      <c r="O257" s="250"/>
      <c r="P257" s="165" t="s">
        <v>1143</v>
      </c>
    </row>
    <row r="258" spans="1:17" s="169" customFormat="1" x14ac:dyDescent="0.35">
      <c r="A258" s="160">
        <v>17</v>
      </c>
      <c r="B258" s="161" t="s">
        <v>106</v>
      </c>
      <c r="C258" s="142" t="s">
        <v>906</v>
      </c>
      <c r="D258" s="162">
        <v>45888</v>
      </c>
      <c r="E258" s="163">
        <v>45894</v>
      </c>
      <c r="F258" s="164" t="s">
        <v>919</v>
      </c>
      <c r="G258" s="165" t="s">
        <v>920</v>
      </c>
      <c r="H258" s="163">
        <v>45660</v>
      </c>
      <c r="I258" s="166">
        <v>621355800</v>
      </c>
      <c r="J258" s="166">
        <v>406771000</v>
      </c>
      <c r="K258" s="166">
        <f t="shared" si="39"/>
        <v>44744810</v>
      </c>
      <c r="L258" s="167">
        <f t="shared" si="40"/>
        <v>451515810</v>
      </c>
      <c r="M258" s="253"/>
      <c r="N258" s="255"/>
      <c r="O258" s="251"/>
      <c r="P258" s="165" t="s">
        <v>983</v>
      </c>
    </row>
    <row r="259" spans="1:17" s="169" customFormat="1" ht="60" x14ac:dyDescent="0.35">
      <c r="A259" s="160">
        <v>18</v>
      </c>
      <c r="B259" s="161" t="s">
        <v>275</v>
      </c>
      <c r="C259" s="142" t="s">
        <v>921</v>
      </c>
      <c r="D259" s="162">
        <v>45895</v>
      </c>
      <c r="E259" s="163">
        <v>45896</v>
      </c>
      <c r="F259" s="164" t="s">
        <v>927</v>
      </c>
      <c r="G259" s="183" t="s">
        <v>928</v>
      </c>
      <c r="H259" s="162">
        <v>45889</v>
      </c>
      <c r="I259" s="176">
        <v>126251400</v>
      </c>
      <c r="J259" s="166">
        <v>113740000</v>
      </c>
      <c r="K259" s="166">
        <f t="shared" si="39"/>
        <v>12511400</v>
      </c>
      <c r="L259" s="167">
        <f t="shared" si="40"/>
        <v>126251400</v>
      </c>
      <c r="M259" s="160" t="s">
        <v>1132</v>
      </c>
      <c r="N259" s="168">
        <v>111465200</v>
      </c>
      <c r="O259" s="167">
        <f t="shared" si="41"/>
        <v>14786200</v>
      </c>
      <c r="P259" s="165" t="s">
        <v>1133</v>
      </c>
    </row>
    <row r="260" spans="1:17" s="169" customFormat="1" ht="48" x14ac:dyDescent="0.35">
      <c r="A260" s="160">
        <v>19</v>
      </c>
      <c r="B260" s="161" t="s">
        <v>925</v>
      </c>
      <c r="C260" s="142" t="s">
        <v>922</v>
      </c>
      <c r="D260" s="162">
        <v>45895</v>
      </c>
      <c r="E260" s="163">
        <v>45896</v>
      </c>
      <c r="F260" s="164" t="s">
        <v>929</v>
      </c>
      <c r="G260" s="165" t="s">
        <v>930</v>
      </c>
      <c r="H260" s="163">
        <v>45890</v>
      </c>
      <c r="I260" s="166">
        <v>9435000</v>
      </c>
      <c r="J260" s="176">
        <v>8500000</v>
      </c>
      <c r="K260" s="166">
        <f t="shared" si="39"/>
        <v>935000</v>
      </c>
      <c r="L260" s="167">
        <f t="shared" si="40"/>
        <v>9435000</v>
      </c>
      <c r="M260" s="160" t="s">
        <v>984</v>
      </c>
      <c r="N260" s="168">
        <v>9265000</v>
      </c>
      <c r="O260" s="167">
        <f t="shared" si="41"/>
        <v>170000</v>
      </c>
      <c r="P260" s="165" t="s">
        <v>206</v>
      </c>
    </row>
    <row r="261" spans="1:17" s="169" customFormat="1" x14ac:dyDescent="0.35">
      <c r="A261" s="160">
        <v>20</v>
      </c>
      <c r="B261" s="161" t="s">
        <v>926</v>
      </c>
      <c r="C261" s="142" t="s">
        <v>923</v>
      </c>
      <c r="D261" s="162">
        <v>45895</v>
      </c>
      <c r="E261" s="163">
        <v>45896</v>
      </c>
      <c r="F261" s="194" t="s">
        <v>931</v>
      </c>
      <c r="G261" s="165" t="s">
        <v>932</v>
      </c>
      <c r="H261" s="162">
        <v>45894</v>
      </c>
      <c r="I261" s="166">
        <v>638380312</v>
      </c>
      <c r="J261" s="166">
        <v>575117398</v>
      </c>
      <c r="K261" s="166">
        <f t="shared" si="39"/>
        <v>63262913.780000001</v>
      </c>
      <c r="L261" s="167">
        <f t="shared" si="40"/>
        <v>638380311.77999997</v>
      </c>
      <c r="M261" s="160" t="s">
        <v>1136</v>
      </c>
      <c r="N261" s="168">
        <v>628315757</v>
      </c>
      <c r="O261" s="167">
        <f t="shared" si="41"/>
        <v>10064554.779999971</v>
      </c>
      <c r="P261" s="165" t="s">
        <v>354</v>
      </c>
    </row>
    <row r="262" spans="1:17" s="169" customFormat="1" x14ac:dyDescent="0.35">
      <c r="A262" s="160">
        <v>21</v>
      </c>
      <c r="B262" s="161" t="s">
        <v>44</v>
      </c>
      <c r="C262" s="142" t="s">
        <v>924</v>
      </c>
      <c r="D262" s="162">
        <v>45895</v>
      </c>
      <c r="E262" s="163">
        <v>45897</v>
      </c>
      <c r="F262" s="164" t="s">
        <v>933</v>
      </c>
      <c r="G262" s="165" t="s">
        <v>236</v>
      </c>
      <c r="H262" s="162">
        <v>45664</v>
      </c>
      <c r="I262" s="166">
        <v>809190000</v>
      </c>
      <c r="J262" s="166">
        <v>60750000</v>
      </c>
      <c r="K262" s="166">
        <f t="shared" si="39"/>
        <v>6682500</v>
      </c>
      <c r="L262" s="167">
        <f t="shared" si="40"/>
        <v>67432500</v>
      </c>
      <c r="M262" s="160" t="s">
        <v>1139</v>
      </c>
      <c r="N262" s="168">
        <v>66217500</v>
      </c>
      <c r="O262" s="167">
        <f t="shared" si="41"/>
        <v>1215000</v>
      </c>
      <c r="P262" s="165" t="s">
        <v>206</v>
      </c>
    </row>
    <row r="263" spans="1:17" s="17" customFormat="1" ht="25.5" customHeight="1" x14ac:dyDescent="0.35">
      <c r="A263" s="273" t="s">
        <v>39</v>
      </c>
      <c r="B263" s="273"/>
      <c r="C263" s="273"/>
      <c r="D263" s="273"/>
      <c r="E263" s="273"/>
      <c r="F263" s="273"/>
      <c r="G263" s="273"/>
      <c r="H263" s="273"/>
      <c r="I263" s="47">
        <f>SUM(I242:I262)</f>
        <v>22024940862</v>
      </c>
      <c r="J263" s="47">
        <f>SUM(J242:J262)</f>
        <v>6150978770</v>
      </c>
      <c r="K263" s="47">
        <f>SUM(K242:K262)</f>
        <v>676607664.70000005</v>
      </c>
      <c r="L263" s="49">
        <f>SUM(L242:L262)</f>
        <v>6827586434.6999998</v>
      </c>
      <c r="M263" s="75"/>
      <c r="N263" s="47">
        <f>SUM(N242:N262)</f>
        <v>4883930592</v>
      </c>
      <c r="O263" s="49">
        <f>SUM(O242:O262)</f>
        <v>1943655842.7</v>
      </c>
      <c r="P263" s="149"/>
    </row>
    <row r="264" spans="1:17" s="17" customFormat="1" ht="25.5" customHeight="1" x14ac:dyDescent="0.35">
      <c r="A264" s="51"/>
      <c r="B264" s="52"/>
      <c r="C264" s="51"/>
      <c r="D264" s="53"/>
      <c r="E264" s="76"/>
      <c r="F264" s="77"/>
      <c r="G264" s="51"/>
      <c r="H264" s="76"/>
      <c r="I264" s="78"/>
      <c r="J264" s="54"/>
      <c r="K264" s="78"/>
      <c r="L264" s="79"/>
      <c r="M264" s="76"/>
      <c r="N264" s="54"/>
      <c r="O264" s="79"/>
      <c r="P264" s="52"/>
    </row>
    <row r="265" spans="1:17" s="196" customFormat="1" ht="40" customHeight="1" x14ac:dyDescent="0.35">
      <c r="A265" s="160">
        <v>1</v>
      </c>
      <c r="B265" s="161" t="s">
        <v>44</v>
      </c>
      <c r="C265" s="200" t="s">
        <v>940</v>
      </c>
      <c r="D265" s="162">
        <v>45901</v>
      </c>
      <c r="E265" s="163">
        <v>45904</v>
      </c>
      <c r="F265" s="201" t="s">
        <v>934</v>
      </c>
      <c r="G265" s="165">
        <v>2112476152</v>
      </c>
      <c r="H265" s="163">
        <v>45816</v>
      </c>
      <c r="I265" s="166">
        <v>20429550</v>
      </c>
      <c r="J265" s="166">
        <v>18405000</v>
      </c>
      <c r="K265" s="166">
        <f t="shared" ref="K265" si="48">J265*11%</f>
        <v>2024550</v>
      </c>
      <c r="L265" s="167">
        <f t="shared" ref="L265" si="49">J265+K265</f>
        <v>20429550</v>
      </c>
      <c r="M265" s="160" t="s">
        <v>1141</v>
      </c>
      <c r="N265" s="168">
        <v>20429550</v>
      </c>
      <c r="O265" s="167">
        <f t="shared" ref="O265" si="50">L265-N265</f>
        <v>0</v>
      </c>
      <c r="P265" s="165"/>
    </row>
    <row r="266" spans="1:17" s="40" customFormat="1" ht="15" customHeight="1" x14ac:dyDescent="0.35">
      <c r="A266" s="99">
        <v>2</v>
      </c>
      <c r="B266" s="101" t="s">
        <v>830</v>
      </c>
      <c r="C266" s="99" t="s">
        <v>941</v>
      </c>
      <c r="D266" s="102">
        <v>45901</v>
      </c>
      <c r="E266" s="93">
        <v>45904</v>
      </c>
      <c r="F266" s="91" t="s">
        <v>948</v>
      </c>
      <c r="G266" s="92">
        <v>4515919260</v>
      </c>
      <c r="H266" s="102">
        <v>45700</v>
      </c>
      <c r="I266" s="94">
        <v>1033587600</v>
      </c>
      <c r="J266" s="94">
        <v>210600000</v>
      </c>
      <c r="K266" s="94">
        <f t="shared" ref="K266:K294" si="51">J266*11%</f>
        <v>23166000</v>
      </c>
      <c r="L266" s="103">
        <f t="shared" ref="L266:L294" si="52">J266+K266</f>
        <v>233766000</v>
      </c>
      <c r="M266" s="99"/>
      <c r="N266" s="96"/>
      <c r="O266" s="103">
        <f t="shared" ref="O266:O294" si="53">L266-N266</f>
        <v>233766000</v>
      </c>
      <c r="P266" s="92"/>
    </row>
    <row r="267" spans="1:17" s="40" customFormat="1" ht="15" customHeight="1" x14ac:dyDescent="0.35">
      <c r="A267" s="99">
        <v>3</v>
      </c>
      <c r="B267" s="101" t="s">
        <v>832</v>
      </c>
      <c r="C267" s="99" t="s">
        <v>942</v>
      </c>
      <c r="D267" s="102">
        <v>45901</v>
      </c>
      <c r="E267" s="93">
        <v>45904</v>
      </c>
      <c r="F267" s="91" t="s">
        <v>949</v>
      </c>
      <c r="G267" s="92">
        <v>4515962166</v>
      </c>
      <c r="H267" s="102">
        <v>45700</v>
      </c>
      <c r="I267" s="94">
        <v>646957173</v>
      </c>
      <c r="J267" s="94">
        <v>112320000</v>
      </c>
      <c r="K267" s="94">
        <f t="shared" si="51"/>
        <v>12355200</v>
      </c>
      <c r="L267" s="103">
        <f t="shared" si="52"/>
        <v>124675200</v>
      </c>
      <c r="M267" s="99"/>
      <c r="N267" s="100"/>
      <c r="O267" s="103">
        <f t="shared" si="53"/>
        <v>124675200</v>
      </c>
      <c r="P267" s="92"/>
    </row>
    <row r="268" spans="1:17" s="196" customFormat="1" ht="30" customHeight="1" x14ac:dyDescent="0.35">
      <c r="A268" s="160">
        <v>4</v>
      </c>
      <c r="B268" s="173" t="s">
        <v>275</v>
      </c>
      <c r="C268" s="142" t="s">
        <v>943</v>
      </c>
      <c r="D268" s="162">
        <v>45901</v>
      </c>
      <c r="E268" s="163">
        <v>45904</v>
      </c>
      <c r="F268" s="194" t="s">
        <v>950</v>
      </c>
      <c r="G268" s="165" t="s">
        <v>278</v>
      </c>
      <c r="H268" s="162">
        <v>45701</v>
      </c>
      <c r="I268" s="166">
        <v>155400000</v>
      </c>
      <c r="J268" s="166">
        <v>46000000</v>
      </c>
      <c r="K268" s="166">
        <f t="shared" si="51"/>
        <v>5060000</v>
      </c>
      <c r="L268" s="167">
        <f t="shared" si="52"/>
        <v>51060000</v>
      </c>
      <c r="M268" s="160" t="s">
        <v>1134</v>
      </c>
      <c r="N268" s="198">
        <v>45080000</v>
      </c>
      <c r="O268" s="167">
        <f t="shared" si="53"/>
        <v>5980000</v>
      </c>
      <c r="P268" s="165" t="s">
        <v>1135</v>
      </c>
      <c r="Q268" s="199"/>
    </row>
    <row r="269" spans="1:17" s="196" customFormat="1" ht="30" customHeight="1" x14ac:dyDescent="0.35">
      <c r="A269" s="160">
        <v>5</v>
      </c>
      <c r="B269" s="161" t="s">
        <v>362</v>
      </c>
      <c r="C269" s="142" t="s">
        <v>944</v>
      </c>
      <c r="D269" s="162">
        <v>45903</v>
      </c>
      <c r="E269" s="163">
        <v>45904</v>
      </c>
      <c r="F269" s="164" t="s">
        <v>951</v>
      </c>
      <c r="G269" s="165" t="s">
        <v>952</v>
      </c>
      <c r="H269" s="162">
        <v>45901</v>
      </c>
      <c r="I269" s="166">
        <v>14097000</v>
      </c>
      <c r="J269" s="166">
        <v>3810000</v>
      </c>
      <c r="K269" s="166">
        <f t="shared" si="51"/>
        <v>419100</v>
      </c>
      <c r="L269" s="167">
        <f t="shared" si="52"/>
        <v>4229100</v>
      </c>
      <c r="M269" s="160" t="s">
        <v>985</v>
      </c>
      <c r="N269" s="168">
        <v>4227600</v>
      </c>
      <c r="O269" s="167">
        <f t="shared" si="53"/>
        <v>1500</v>
      </c>
      <c r="P269" s="165" t="s">
        <v>986</v>
      </c>
    </row>
    <row r="270" spans="1:17" s="196" customFormat="1" ht="15" customHeight="1" x14ac:dyDescent="0.35">
      <c r="A270" s="160">
        <v>6</v>
      </c>
      <c r="B270" s="161" t="s">
        <v>719</v>
      </c>
      <c r="C270" s="160" t="s">
        <v>945</v>
      </c>
      <c r="D270" s="162">
        <v>45903</v>
      </c>
      <c r="E270" s="163">
        <v>45904</v>
      </c>
      <c r="F270" s="185" t="s">
        <v>953</v>
      </c>
      <c r="G270" s="183" t="s">
        <v>721</v>
      </c>
      <c r="H270" s="162">
        <v>45840</v>
      </c>
      <c r="I270" s="176">
        <v>396270000</v>
      </c>
      <c r="J270" s="166">
        <v>142800000</v>
      </c>
      <c r="K270" s="166">
        <f t="shared" si="51"/>
        <v>15708000</v>
      </c>
      <c r="L270" s="167">
        <f t="shared" si="52"/>
        <v>158508000</v>
      </c>
      <c r="M270" s="160" t="s">
        <v>1111</v>
      </c>
      <c r="N270" s="168">
        <v>158508000</v>
      </c>
      <c r="O270" s="167">
        <f t="shared" si="53"/>
        <v>0</v>
      </c>
      <c r="P270" s="165"/>
    </row>
    <row r="271" spans="1:17" s="196" customFormat="1" ht="30" customHeight="1" x14ac:dyDescent="0.35">
      <c r="A271" s="160">
        <v>7</v>
      </c>
      <c r="B271" s="173" t="s">
        <v>954</v>
      </c>
      <c r="C271" s="160" t="s">
        <v>946</v>
      </c>
      <c r="D271" s="162">
        <v>45903</v>
      </c>
      <c r="E271" s="163">
        <v>45904</v>
      </c>
      <c r="F271" s="164" t="s">
        <v>955</v>
      </c>
      <c r="G271" s="165">
        <v>4000043362</v>
      </c>
      <c r="H271" s="162">
        <v>45880</v>
      </c>
      <c r="I271" s="166">
        <v>3690750</v>
      </c>
      <c r="J271" s="166">
        <v>3325000</v>
      </c>
      <c r="K271" s="166">
        <f t="shared" si="51"/>
        <v>365750</v>
      </c>
      <c r="L271" s="167">
        <f t="shared" si="52"/>
        <v>3690750</v>
      </c>
      <c r="M271" s="160" t="s">
        <v>1216</v>
      </c>
      <c r="N271" s="166">
        <v>3690750</v>
      </c>
      <c r="O271" s="167">
        <f t="shared" si="53"/>
        <v>0</v>
      </c>
      <c r="P271" s="165"/>
    </row>
    <row r="272" spans="1:17" s="196" customFormat="1" ht="30" customHeight="1" x14ac:dyDescent="0.35">
      <c r="A272" s="160">
        <v>8</v>
      </c>
      <c r="B272" s="173" t="s">
        <v>738</v>
      </c>
      <c r="C272" s="160" t="s">
        <v>947</v>
      </c>
      <c r="D272" s="162">
        <v>45903</v>
      </c>
      <c r="E272" s="163">
        <v>45908</v>
      </c>
      <c r="F272" s="164" t="s">
        <v>956</v>
      </c>
      <c r="G272" s="165" t="s">
        <v>957</v>
      </c>
      <c r="H272" s="162">
        <v>45748</v>
      </c>
      <c r="I272" s="166">
        <v>64380000</v>
      </c>
      <c r="J272" s="166">
        <v>19333333</v>
      </c>
      <c r="K272" s="166">
        <f t="shared" si="51"/>
        <v>2126666.63</v>
      </c>
      <c r="L272" s="167">
        <f t="shared" si="52"/>
        <v>21459999.629999999</v>
      </c>
      <c r="M272" s="160" t="s">
        <v>1048</v>
      </c>
      <c r="N272" s="166">
        <v>21457100</v>
      </c>
      <c r="O272" s="167">
        <f t="shared" si="53"/>
        <v>2899.6299999989569</v>
      </c>
      <c r="P272" s="165" t="s">
        <v>1140</v>
      </c>
    </row>
    <row r="273" spans="1:16" s="196" customFormat="1" ht="30" customHeight="1" x14ac:dyDescent="0.35">
      <c r="A273" s="160">
        <v>9</v>
      </c>
      <c r="B273" s="173" t="s">
        <v>175</v>
      </c>
      <c r="C273" s="108" t="s">
        <v>987</v>
      </c>
      <c r="D273" s="162">
        <v>45910</v>
      </c>
      <c r="E273" s="163">
        <v>45911</v>
      </c>
      <c r="F273" s="164" t="s">
        <v>989</v>
      </c>
      <c r="G273" s="165">
        <v>158332</v>
      </c>
      <c r="H273" s="163">
        <v>45464</v>
      </c>
      <c r="I273" s="166">
        <v>3403260000</v>
      </c>
      <c r="J273" s="166">
        <v>306600000</v>
      </c>
      <c r="K273" s="166">
        <f t="shared" si="51"/>
        <v>33726000</v>
      </c>
      <c r="L273" s="167">
        <f t="shared" si="52"/>
        <v>340326000</v>
      </c>
      <c r="M273" s="252" t="s">
        <v>1111</v>
      </c>
      <c r="N273" s="254">
        <v>373198000</v>
      </c>
      <c r="O273" s="249">
        <f>L273+L274-N273</f>
        <v>5978000</v>
      </c>
      <c r="P273" s="165" t="s">
        <v>1112</v>
      </c>
    </row>
    <row r="274" spans="1:16" s="196" customFormat="1" ht="40" customHeight="1" x14ac:dyDescent="0.35">
      <c r="A274" s="160">
        <v>10</v>
      </c>
      <c r="B274" s="161" t="s">
        <v>264</v>
      </c>
      <c r="C274" s="108" t="s">
        <v>988</v>
      </c>
      <c r="D274" s="162">
        <v>45910</v>
      </c>
      <c r="E274" s="163">
        <v>45911</v>
      </c>
      <c r="F274" s="164" t="s">
        <v>990</v>
      </c>
      <c r="G274" s="164">
        <v>160455</v>
      </c>
      <c r="H274" s="162">
        <v>45609</v>
      </c>
      <c r="I274" s="166">
        <v>777000000</v>
      </c>
      <c r="J274" s="176">
        <v>35000000</v>
      </c>
      <c r="K274" s="166">
        <f t="shared" si="51"/>
        <v>3850000</v>
      </c>
      <c r="L274" s="167">
        <f t="shared" si="52"/>
        <v>38850000</v>
      </c>
      <c r="M274" s="253"/>
      <c r="N274" s="255"/>
      <c r="O274" s="251"/>
      <c r="P274" s="165" t="s">
        <v>1113</v>
      </c>
    </row>
    <row r="275" spans="1:16" s="196" customFormat="1" ht="30" customHeight="1" x14ac:dyDescent="0.35">
      <c r="A275" s="160">
        <v>11</v>
      </c>
      <c r="B275" s="173" t="s">
        <v>991</v>
      </c>
      <c r="C275" s="108" t="s">
        <v>992</v>
      </c>
      <c r="D275" s="175">
        <v>45910</v>
      </c>
      <c r="E275" s="175">
        <v>45911</v>
      </c>
      <c r="F275" s="164" t="s">
        <v>993</v>
      </c>
      <c r="G275" s="165" t="s">
        <v>994</v>
      </c>
      <c r="H275" s="163">
        <v>45867</v>
      </c>
      <c r="I275" s="166">
        <v>121767000</v>
      </c>
      <c r="J275" s="176">
        <v>21940000</v>
      </c>
      <c r="K275" s="166">
        <f t="shared" si="51"/>
        <v>2413400</v>
      </c>
      <c r="L275" s="167">
        <f t="shared" si="52"/>
        <v>24353400</v>
      </c>
      <c r="M275" s="160" t="s">
        <v>1130</v>
      </c>
      <c r="N275" s="168">
        <v>24290500</v>
      </c>
      <c r="O275" s="167">
        <f t="shared" si="53"/>
        <v>62900</v>
      </c>
      <c r="P275" s="165" t="s">
        <v>1213</v>
      </c>
    </row>
    <row r="276" spans="1:16" s="196" customFormat="1" ht="30" customHeight="1" x14ac:dyDescent="0.35">
      <c r="A276" s="160">
        <v>12</v>
      </c>
      <c r="B276" s="161" t="s">
        <v>558</v>
      </c>
      <c r="C276" s="142" t="s">
        <v>995</v>
      </c>
      <c r="D276" s="220">
        <v>45910</v>
      </c>
      <c r="E276" s="220">
        <v>45911</v>
      </c>
      <c r="F276" s="171" t="s">
        <v>996</v>
      </c>
      <c r="G276" s="165" t="s">
        <v>561</v>
      </c>
      <c r="H276" s="162">
        <v>45784</v>
      </c>
      <c r="I276" s="166">
        <v>258491250</v>
      </c>
      <c r="J276" s="176">
        <v>77625000</v>
      </c>
      <c r="K276" s="166">
        <f t="shared" si="51"/>
        <v>8538750</v>
      </c>
      <c r="L276" s="167">
        <f t="shared" si="52"/>
        <v>86163750</v>
      </c>
      <c r="M276" s="160" t="s">
        <v>1242</v>
      </c>
      <c r="N276" s="166">
        <v>84611250</v>
      </c>
      <c r="O276" s="167">
        <f t="shared" si="53"/>
        <v>1552500</v>
      </c>
      <c r="P276" s="165" t="s">
        <v>206</v>
      </c>
    </row>
    <row r="277" spans="1:16" s="196" customFormat="1" ht="50" customHeight="1" x14ac:dyDescent="0.35">
      <c r="A277" s="160">
        <v>13</v>
      </c>
      <c r="B277" s="173" t="s">
        <v>997</v>
      </c>
      <c r="C277" s="214" t="s">
        <v>998</v>
      </c>
      <c r="D277" s="175">
        <v>45910</v>
      </c>
      <c r="E277" s="175">
        <v>45926</v>
      </c>
      <c r="F277" s="164" t="s">
        <v>999</v>
      </c>
      <c r="G277" s="183" t="s">
        <v>1000</v>
      </c>
      <c r="H277" s="175">
        <v>45867</v>
      </c>
      <c r="I277" s="176">
        <v>53946000</v>
      </c>
      <c r="J277" s="176">
        <v>48600000</v>
      </c>
      <c r="K277" s="166">
        <f t="shared" si="51"/>
        <v>5346000</v>
      </c>
      <c r="L277" s="167">
        <f t="shared" si="52"/>
        <v>53946000</v>
      </c>
      <c r="M277" s="160" t="s">
        <v>1217</v>
      </c>
      <c r="N277" s="166">
        <v>53946000</v>
      </c>
      <c r="O277" s="167">
        <f t="shared" si="53"/>
        <v>0</v>
      </c>
      <c r="P277" s="165"/>
    </row>
    <row r="278" spans="1:16" s="196" customFormat="1" ht="50" customHeight="1" x14ac:dyDescent="0.35">
      <c r="A278" s="160">
        <v>14</v>
      </c>
      <c r="B278" s="173" t="s">
        <v>1001</v>
      </c>
      <c r="C278" s="108" t="s">
        <v>1002</v>
      </c>
      <c r="D278" s="175">
        <v>45911</v>
      </c>
      <c r="E278" s="175">
        <v>45915</v>
      </c>
      <c r="F278" s="164" t="s">
        <v>1004</v>
      </c>
      <c r="G278" s="165" t="s">
        <v>1003</v>
      </c>
      <c r="H278" s="163">
        <v>45863</v>
      </c>
      <c r="I278" s="166">
        <v>99234000000</v>
      </c>
      <c r="J278" s="176">
        <v>35760000</v>
      </c>
      <c r="K278" s="166">
        <f t="shared" si="51"/>
        <v>3933600</v>
      </c>
      <c r="L278" s="167">
        <f t="shared" si="52"/>
        <v>39693600</v>
      </c>
      <c r="M278" s="160" t="s">
        <v>1046</v>
      </c>
      <c r="N278" s="168">
        <v>35044800</v>
      </c>
      <c r="O278" s="167">
        <f t="shared" si="53"/>
        <v>4648800</v>
      </c>
      <c r="P278" s="165" t="s">
        <v>1047</v>
      </c>
    </row>
    <row r="279" spans="1:16" s="196" customFormat="1" ht="60" customHeight="1" x14ac:dyDescent="0.35">
      <c r="A279" s="160">
        <v>15</v>
      </c>
      <c r="B279" s="173" t="s">
        <v>762</v>
      </c>
      <c r="C279" s="108" t="s">
        <v>1005</v>
      </c>
      <c r="D279" s="175">
        <v>45911</v>
      </c>
      <c r="E279" s="175">
        <v>45915</v>
      </c>
      <c r="F279" s="164" t="s">
        <v>1006</v>
      </c>
      <c r="G279" s="165" t="s">
        <v>1007</v>
      </c>
      <c r="H279" s="163">
        <v>45910</v>
      </c>
      <c r="I279" s="166">
        <v>41514000</v>
      </c>
      <c r="J279" s="176">
        <v>11220000</v>
      </c>
      <c r="K279" s="166">
        <f t="shared" si="51"/>
        <v>1234200</v>
      </c>
      <c r="L279" s="167">
        <f t="shared" si="52"/>
        <v>12454200</v>
      </c>
      <c r="M279" s="160" t="s">
        <v>1137</v>
      </c>
      <c r="N279" s="168">
        <v>12412350</v>
      </c>
      <c r="O279" s="167">
        <f t="shared" si="53"/>
        <v>41850</v>
      </c>
      <c r="P279" s="165" t="s">
        <v>1138</v>
      </c>
    </row>
    <row r="280" spans="1:16" s="40" customFormat="1" ht="40" customHeight="1" x14ac:dyDescent="0.35">
      <c r="A280" s="99">
        <v>16</v>
      </c>
      <c r="B280" s="91" t="s">
        <v>585</v>
      </c>
      <c r="C280" s="99" t="s">
        <v>1008</v>
      </c>
      <c r="D280" s="102">
        <v>45915</v>
      </c>
      <c r="E280" s="102">
        <v>45916</v>
      </c>
      <c r="F280" s="91" t="s">
        <v>1009</v>
      </c>
      <c r="G280" s="92" t="s">
        <v>589</v>
      </c>
      <c r="H280" s="102">
        <v>45243</v>
      </c>
      <c r="I280" s="94">
        <v>912420000</v>
      </c>
      <c r="J280" s="94">
        <v>102750000</v>
      </c>
      <c r="K280" s="94">
        <f t="shared" si="51"/>
        <v>11302500</v>
      </c>
      <c r="L280" s="103">
        <f t="shared" si="52"/>
        <v>114052500</v>
      </c>
      <c r="M280" s="99"/>
      <c r="N280" s="94"/>
      <c r="O280" s="103">
        <f t="shared" si="53"/>
        <v>114052500</v>
      </c>
      <c r="P280" s="92"/>
    </row>
    <row r="281" spans="1:16" s="196" customFormat="1" ht="30" customHeight="1" x14ac:dyDescent="0.35">
      <c r="A281" s="160">
        <v>17</v>
      </c>
      <c r="B281" s="173" t="s">
        <v>504</v>
      </c>
      <c r="C281" s="108" t="s">
        <v>1010</v>
      </c>
      <c r="D281" s="175">
        <v>45918</v>
      </c>
      <c r="E281" s="175">
        <v>45922</v>
      </c>
      <c r="F281" s="164" t="s">
        <v>1011</v>
      </c>
      <c r="G281" s="165" t="s">
        <v>508</v>
      </c>
      <c r="H281" s="162">
        <v>45762</v>
      </c>
      <c r="I281" s="166">
        <v>35520000</v>
      </c>
      <c r="J281" s="176">
        <v>8000000</v>
      </c>
      <c r="K281" s="166">
        <f t="shared" si="51"/>
        <v>880000</v>
      </c>
      <c r="L281" s="167">
        <f t="shared" si="52"/>
        <v>8880000</v>
      </c>
      <c r="M281" s="160" t="s">
        <v>1148</v>
      </c>
      <c r="N281" s="166">
        <v>8720000</v>
      </c>
      <c r="O281" s="167">
        <f t="shared" si="53"/>
        <v>160000</v>
      </c>
      <c r="P281" s="165" t="s">
        <v>206</v>
      </c>
    </row>
    <row r="282" spans="1:16" s="196" customFormat="1" ht="30" customHeight="1" x14ac:dyDescent="0.35">
      <c r="A282" s="160">
        <v>18</v>
      </c>
      <c r="B282" s="173" t="s">
        <v>194</v>
      </c>
      <c r="C282" s="108" t="s">
        <v>1012</v>
      </c>
      <c r="D282" s="175">
        <v>45918</v>
      </c>
      <c r="E282" s="175">
        <v>45922</v>
      </c>
      <c r="F282" s="164" t="s">
        <v>1013</v>
      </c>
      <c r="G282" s="165" t="s">
        <v>1014</v>
      </c>
      <c r="H282" s="163">
        <v>45904</v>
      </c>
      <c r="I282" s="166">
        <v>33245000</v>
      </c>
      <c r="J282" s="176">
        <v>30500000</v>
      </c>
      <c r="K282" s="166">
        <f t="shared" si="51"/>
        <v>3355000</v>
      </c>
      <c r="L282" s="167">
        <f t="shared" si="52"/>
        <v>33855000</v>
      </c>
      <c r="M282" s="160" t="s">
        <v>1248</v>
      </c>
      <c r="N282" s="166">
        <v>33245000</v>
      </c>
      <c r="O282" s="167">
        <f t="shared" si="53"/>
        <v>610000</v>
      </c>
      <c r="P282" s="165" t="s">
        <v>206</v>
      </c>
    </row>
    <row r="283" spans="1:16" s="196" customFormat="1" ht="15" customHeight="1" x14ac:dyDescent="0.35">
      <c r="A283" s="160">
        <v>19</v>
      </c>
      <c r="B283" s="173" t="s">
        <v>807</v>
      </c>
      <c r="C283" s="197" t="s">
        <v>1015</v>
      </c>
      <c r="D283" s="175">
        <v>45919</v>
      </c>
      <c r="E283" s="163">
        <v>45922</v>
      </c>
      <c r="F283" s="164" t="s">
        <v>1016</v>
      </c>
      <c r="G283" s="165" t="s">
        <v>1017</v>
      </c>
      <c r="H283" s="163">
        <v>45889</v>
      </c>
      <c r="I283" s="166">
        <v>17977500</v>
      </c>
      <c r="J283" s="176">
        <v>17977500</v>
      </c>
      <c r="K283" s="166">
        <f t="shared" ref="K283" si="54">J283*11%</f>
        <v>1977525</v>
      </c>
      <c r="L283" s="167">
        <f t="shared" si="52"/>
        <v>19955025</v>
      </c>
      <c r="M283" s="160" t="s">
        <v>1045</v>
      </c>
      <c r="N283" s="166">
        <v>19955025</v>
      </c>
      <c r="O283" s="167">
        <f t="shared" si="53"/>
        <v>0</v>
      </c>
      <c r="P283" s="165"/>
    </row>
    <row r="284" spans="1:16" s="196" customFormat="1" ht="15" customHeight="1" x14ac:dyDescent="0.35">
      <c r="A284" s="160">
        <v>20</v>
      </c>
      <c r="B284" s="164" t="s">
        <v>438</v>
      </c>
      <c r="C284" s="142" t="s">
        <v>1018</v>
      </c>
      <c r="D284" s="162">
        <v>45919</v>
      </c>
      <c r="E284" s="162">
        <v>45923</v>
      </c>
      <c r="F284" s="164" t="s">
        <v>1019</v>
      </c>
      <c r="G284" s="165" t="s">
        <v>441</v>
      </c>
      <c r="H284" s="162">
        <v>45649</v>
      </c>
      <c r="I284" s="166">
        <v>33300000</v>
      </c>
      <c r="J284" s="166">
        <v>3750000</v>
      </c>
      <c r="K284" s="166">
        <f t="shared" si="51"/>
        <v>412500</v>
      </c>
      <c r="L284" s="167">
        <f t="shared" si="52"/>
        <v>4162500</v>
      </c>
      <c r="M284" s="160" t="s">
        <v>1243</v>
      </c>
      <c r="N284" s="168">
        <v>4087500</v>
      </c>
      <c r="O284" s="167">
        <f t="shared" si="53"/>
        <v>75000</v>
      </c>
      <c r="P284" s="165" t="s">
        <v>206</v>
      </c>
    </row>
    <row r="285" spans="1:16" s="196" customFormat="1" ht="15" customHeight="1" x14ac:dyDescent="0.35">
      <c r="A285" s="99">
        <v>21</v>
      </c>
      <c r="B285" s="88" t="s">
        <v>1025</v>
      </c>
      <c r="C285" s="239" t="s">
        <v>1020</v>
      </c>
      <c r="D285" s="90">
        <v>45919</v>
      </c>
      <c r="E285" s="93">
        <v>45922</v>
      </c>
      <c r="F285" s="88" t="s">
        <v>1026</v>
      </c>
      <c r="G285" s="97">
        <v>4515223814</v>
      </c>
      <c r="H285" s="90">
        <v>45335</v>
      </c>
      <c r="I285" s="95">
        <v>55500000</v>
      </c>
      <c r="J285" s="95">
        <v>50000000</v>
      </c>
      <c r="K285" s="94">
        <f t="shared" si="51"/>
        <v>5500000</v>
      </c>
      <c r="L285" s="103">
        <f t="shared" si="52"/>
        <v>55500000</v>
      </c>
      <c r="M285" s="99"/>
      <c r="N285" s="100"/>
      <c r="O285" s="103">
        <f t="shared" si="53"/>
        <v>55500000</v>
      </c>
      <c r="P285" s="92"/>
    </row>
    <row r="286" spans="1:16" s="40" customFormat="1" ht="30" customHeight="1" x14ac:dyDescent="0.35">
      <c r="A286" s="99">
        <v>22</v>
      </c>
      <c r="B286" s="88" t="s">
        <v>1027</v>
      </c>
      <c r="C286" s="89" t="s">
        <v>1021</v>
      </c>
      <c r="D286" s="90">
        <v>45919</v>
      </c>
      <c r="E286" s="93">
        <v>45922</v>
      </c>
      <c r="F286" s="91" t="s">
        <v>1028</v>
      </c>
      <c r="G286" s="92">
        <v>4515850976</v>
      </c>
      <c r="H286" s="102">
        <v>45637</v>
      </c>
      <c r="I286" s="94">
        <v>192699608</v>
      </c>
      <c r="J286" s="95">
        <v>173603250</v>
      </c>
      <c r="K286" s="94">
        <f t="shared" si="51"/>
        <v>19096357.5</v>
      </c>
      <c r="L286" s="103">
        <f t="shared" si="52"/>
        <v>192699607.5</v>
      </c>
      <c r="M286" s="99"/>
      <c r="N286" s="100"/>
      <c r="O286" s="103">
        <f t="shared" si="53"/>
        <v>192699607.5</v>
      </c>
      <c r="P286" s="92"/>
    </row>
    <row r="287" spans="1:16" s="40" customFormat="1" ht="15" customHeight="1" x14ac:dyDescent="0.35">
      <c r="A287" s="99">
        <v>23</v>
      </c>
      <c r="B287" s="88" t="s">
        <v>900</v>
      </c>
      <c r="C287" s="89" t="s">
        <v>1022</v>
      </c>
      <c r="D287" s="90">
        <v>45919</v>
      </c>
      <c r="E287" s="93">
        <v>45922</v>
      </c>
      <c r="F287" s="91" t="s">
        <v>1029</v>
      </c>
      <c r="G287" s="92">
        <v>4514629249</v>
      </c>
      <c r="H287" s="93">
        <v>45055</v>
      </c>
      <c r="I287" s="94">
        <v>767163583</v>
      </c>
      <c r="J287" s="95">
        <v>158245270</v>
      </c>
      <c r="K287" s="94">
        <f t="shared" si="51"/>
        <v>17406979.699999999</v>
      </c>
      <c r="L287" s="103">
        <f t="shared" si="52"/>
        <v>175652249.69999999</v>
      </c>
      <c r="M287" s="99"/>
      <c r="N287" s="100"/>
      <c r="O287" s="103">
        <f t="shared" si="53"/>
        <v>175652249.69999999</v>
      </c>
      <c r="P287" s="92"/>
    </row>
    <row r="288" spans="1:16" s="40" customFormat="1" ht="30" customHeight="1" x14ac:dyDescent="0.35">
      <c r="A288" s="99">
        <v>24</v>
      </c>
      <c r="B288" s="101" t="s">
        <v>1030</v>
      </c>
      <c r="C288" s="99" t="s">
        <v>1023</v>
      </c>
      <c r="D288" s="90">
        <v>45919</v>
      </c>
      <c r="E288" s="93">
        <v>45922</v>
      </c>
      <c r="F288" s="91" t="s">
        <v>1031</v>
      </c>
      <c r="G288" s="97">
        <v>4515055116</v>
      </c>
      <c r="H288" s="102">
        <v>45253</v>
      </c>
      <c r="I288" s="95">
        <v>3270256725</v>
      </c>
      <c r="J288" s="94">
        <v>330011562</v>
      </c>
      <c r="K288" s="94">
        <f t="shared" si="51"/>
        <v>36301271.82</v>
      </c>
      <c r="L288" s="103">
        <f t="shared" si="52"/>
        <v>366312833.81999999</v>
      </c>
      <c r="M288" s="99"/>
      <c r="N288" s="100"/>
      <c r="O288" s="103">
        <f t="shared" si="53"/>
        <v>366312833.81999999</v>
      </c>
      <c r="P288" s="92"/>
    </row>
    <row r="289" spans="1:17" s="40" customFormat="1" ht="55" customHeight="1" x14ac:dyDescent="0.35">
      <c r="A289" s="99">
        <v>25</v>
      </c>
      <c r="B289" s="88" t="s">
        <v>1032</v>
      </c>
      <c r="C289" s="89" t="s">
        <v>1024</v>
      </c>
      <c r="D289" s="90">
        <v>45919</v>
      </c>
      <c r="E289" s="93">
        <v>45922</v>
      </c>
      <c r="F289" s="91" t="s">
        <v>1033</v>
      </c>
      <c r="G289" s="92">
        <v>4514356466</v>
      </c>
      <c r="H289" s="93">
        <v>44935</v>
      </c>
      <c r="I289" s="94">
        <v>398523686</v>
      </c>
      <c r="J289" s="95">
        <v>359030348</v>
      </c>
      <c r="K289" s="94">
        <f t="shared" si="51"/>
        <v>39493338.280000001</v>
      </c>
      <c r="L289" s="103">
        <f t="shared" si="52"/>
        <v>398523686.27999997</v>
      </c>
      <c r="M289" s="99"/>
      <c r="N289" s="100"/>
      <c r="O289" s="103">
        <f t="shared" si="53"/>
        <v>398523686.27999997</v>
      </c>
      <c r="P289" s="92"/>
    </row>
    <row r="290" spans="1:17" s="196" customFormat="1" ht="15" customHeight="1" x14ac:dyDescent="0.35">
      <c r="A290" s="160">
        <v>26</v>
      </c>
      <c r="B290" s="161" t="s">
        <v>44</v>
      </c>
      <c r="C290" s="142" t="s">
        <v>1034</v>
      </c>
      <c r="D290" s="162">
        <v>45923</v>
      </c>
      <c r="E290" s="163">
        <v>45923</v>
      </c>
      <c r="F290" s="164" t="s">
        <v>1146</v>
      </c>
      <c r="G290" s="165" t="s">
        <v>236</v>
      </c>
      <c r="H290" s="162">
        <v>45664</v>
      </c>
      <c r="I290" s="166">
        <v>809190000</v>
      </c>
      <c r="J290" s="166">
        <v>60750000</v>
      </c>
      <c r="K290" s="166">
        <f t="shared" si="51"/>
        <v>6682500</v>
      </c>
      <c r="L290" s="167">
        <f t="shared" si="52"/>
        <v>67432500</v>
      </c>
      <c r="M290" s="160" t="s">
        <v>1216</v>
      </c>
      <c r="N290" s="168">
        <v>66217500</v>
      </c>
      <c r="O290" s="167">
        <f t="shared" si="53"/>
        <v>1215000</v>
      </c>
      <c r="P290" s="165" t="s">
        <v>206</v>
      </c>
    </row>
    <row r="291" spans="1:17" s="196" customFormat="1" ht="100" customHeight="1" x14ac:dyDescent="0.35">
      <c r="A291" s="160">
        <v>27</v>
      </c>
      <c r="B291" s="161" t="s">
        <v>1162</v>
      </c>
      <c r="C291" s="200" t="s">
        <v>1035</v>
      </c>
      <c r="D291" s="162">
        <v>45923</v>
      </c>
      <c r="E291" s="215">
        <v>45924</v>
      </c>
      <c r="F291" s="164" t="s">
        <v>1036</v>
      </c>
      <c r="G291" s="165" t="s">
        <v>1037</v>
      </c>
      <c r="H291" s="162">
        <v>45772</v>
      </c>
      <c r="I291" s="166">
        <v>493950000</v>
      </c>
      <c r="J291" s="166">
        <v>445000000</v>
      </c>
      <c r="K291" s="166">
        <f t="shared" si="51"/>
        <v>48950000</v>
      </c>
      <c r="L291" s="167">
        <f t="shared" si="52"/>
        <v>493950000</v>
      </c>
      <c r="M291" s="160" t="s">
        <v>1218</v>
      </c>
      <c r="N291" s="168">
        <f>148185000+345765000</f>
        <v>493950000</v>
      </c>
      <c r="O291" s="167">
        <f t="shared" si="53"/>
        <v>0</v>
      </c>
      <c r="P291" s="164" t="s">
        <v>1230</v>
      </c>
    </row>
    <row r="292" spans="1:17" s="196" customFormat="1" ht="15" customHeight="1" x14ac:dyDescent="0.35">
      <c r="A292" s="160">
        <v>28</v>
      </c>
      <c r="B292" s="173" t="s">
        <v>1038</v>
      </c>
      <c r="C292" s="108" t="s">
        <v>1039</v>
      </c>
      <c r="D292" s="175">
        <v>45923</v>
      </c>
      <c r="E292" s="163">
        <v>45924</v>
      </c>
      <c r="F292" s="164" t="s">
        <v>1040</v>
      </c>
      <c r="G292" s="165" t="s">
        <v>1041</v>
      </c>
      <c r="H292" s="163">
        <v>45805</v>
      </c>
      <c r="I292" s="166">
        <v>185925000</v>
      </c>
      <c r="J292" s="176">
        <v>167500000</v>
      </c>
      <c r="K292" s="166">
        <f t="shared" si="51"/>
        <v>18425000</v>
      </c>
      <c r="L292" s="167">
        <f t="shared" si="52"/>
        <v>185925000</v>
      </c>
      <c r="M292" s="160" t="s">
        <v>1211</v>
      </c>
      <c r="N292" s="168">
        <v>185833000</v>
      </c>
      <c r="O292" s="167">
        <f t="shared" si="53"/>
        <v>92000</v>
      </c>
      <c r="P292" s="165" t="s">
        <v>1125</v>
      </c>
    </row>
    <row r="293" spans="1:17" s="196" customFormat="1" ht="15" customHeight="1" x14ac:dyDescent="0.35">
      <c r="A293" s="160">
        <v>29</v>
      </c>
      <c r="B293" s="173" t="s">
        <v>275</v>
      </c>
      <c r="C293" s="108" t="s">
        <v>1042</v>
      </c>
      <c r="D293" s="175">
        <v>45923</v>
      </c>
      <c r="E293" s="163">
        <v>45924</v>
      </c>
      <c r="F293" s="194" t="s">
        <v>1043</v>
      </c>
      <c r="G293" s="165" t="s">
        <v>1044</v>
      </c>
      <c r="H293" s="162">
        <v>45916</v>
      </c>
      <c r="I293" s="166">
        <v>9213000</v>
      </c>
      <c r="J293" s="166">
        <v>8300000</v>
      </c>
      <c r="K293" s="166">
        <f t="shared" si="51"/>
        <v>913000</v>
      </c>
      <c r="L293" s="167">
        <f t="shared" si="52"/>
        <v>9213000</v>
      </c>
      <c r="M293" s="160" t="s">
        <v>1214</v>
      </c>
      <c r="N293" s="168">
        <v>8175500</v>
      </c>
      <c r="O293" s="167">
        <f t="shared" si="53"/>
        <v>1037500</v>
      </c>
      <c r="P293" s="165" t="s">
        <v>1215</v>
      </c>
    </row>
    <row r="294" spans="1:17" s="196" customFormat="1" ht="60" customHeight="1" x14ac:dyDescent="0.35">
      <c r="A294" s="160">
        <v>30</v>
      </c>
      <c r="B294" s="185" t="s">
        <v>925</v>
      </c>
      <c r="C294" s="108" t="s">
        <v>1049</v>
      </c>
      <c r="D294" s="175">
        <v>45929</v>
      </c>
      <c r="E294" s="163">
        <v>45930</v>
      </c>
      <c r="F294" s="164" t="s">
        <v>1050</v>
      </c>
      <c r="G294" s="165" t="s">
        <v>1051</v>
      </c>
      <c r="H294" s="163">
        <v>45916</v>
      </c>
      <c r="I294" s="166">
        <v>13597500</v>
      </c>
      <c r="J294" s="176">
        <v>12250000</v>
      </c>
      <c r="K294" s="166">
        <f t="shared" si="51"/>
        <v>1347500</v>
      </c>
      <c r="L294" s="167">
        <f t="shared" si="52"/>
        <v>13597500</v>
      </c>
      <c r="M294" s="160" t="s">
        <v>1126</v>
      </c>
      <c r="N294" s="168">
        <v>13352500</v>
      </c>
      <c r="O294" s="167">
        <f t="shared" si="53"/>
        <v>245000</v>
      </c>
      <c r="P294" s="165" t="s">
        <v>1125</v>
      </c>
    </row>
    <row r="295" spans="1:17" s="17" customFormat="1" ht="30.75" customHeight="1" x14ac:dyDescent="0.35">
      <c r="A295" s="275" t="s">
        <v>40</v>
      </c>
      <c r="B295" s="275"/>
      <c r="C295" s="275"/>
      <c r="D295" s="275"/>
      <c r="E295" s="275"/>
      <c r="F295" s="275"/>
      <c r="G295" s="275"/>
      <c r="H295" s="275"/>
      <c r="I295" s="61">
        <f>SUM(I265:I294)</f>
        <v>113453271925</v>
      </c>
      <c r="J295" s="61">
        <f>SUM(J265:J294)</f>
        <v>3021006263</v>
      </c>
      <c r="K295" s="61">
        <f>SUM(K265:K294)</f>
        <v>332310688.92999995</v>
      </c>
      <c r="L295" s="68">
        <f>SUM(L265:L294)</f>
        <v>3353316951.9300003</v>
      </c>
      <c r="M295" s="190"/>
      <c r="N295" s="47">
        <f>SUM(N265:N294)</f>
        <v>1670431925</v>
      </c>
      <c r="O295" s="68">
        <f>SUM(O265:O294)</f>
        <v>1682885026.9299998</v>
      </c>
      <c r="P295" s="149"/>
    </row>
    <row r="296" spans="1:17" s="17" customFormat="1" ht="30" customHeight="1" x14ac:dyDescent="0.35">
      <c r="A296" s="51"/>
      <c r="B296" s="40"/>
      <c r="C296" s="51"/>
      <c r="D296" s="53"/>
      <c r="E296" s="51"/>
      <c r="F296" s="40"/>
      <c r="G296" s="51"/>
      <c r="H296" s="53"/>
      <c r="I296" s="63"/>
      <c r="J296" s="63"/>
      <c r="K296" s="63"/>
      <c r="L296" s="64"/>
      <c r="M296" s="80"/>
      <c r="N296" s="81"/>
      <c r="P296" s="7"/>
    </row>
    <row r="297" spans="1:17" s="169" customFormat="1" ht="28.5" customHeight="1" x14ac:dyDescent="0.35">
      <c r="A297" s="160">
        <v>1</v>
      </c>
      <c r="B297" s="173" t="s">
        <v>1052</v>
      </c>
      <c r="C297" s="108" t="s">
        <v>1053</v>
      </c>
      <c r="D297" s="175">
        <v>45931</v>
      </c>
      <c r="E297" s="175">
        <v>45931</v>
      </c>
      <c r="F297" s="164" t="s">
        <v>1054</v>
      </c>
      <c r="G297" s="218" t="s">
        <v>1055</v>
      </c>
      <c r="H297" s="175">
        <v>45897</v>
      </c>
      <c r="I297" s="176">
        <v>133200000</v>
      </c>
      <c r="J297" s="176">
        <v>120000000</v>
      </c>
      <c r="K297" s="176">
        <f>J297*11%</f>
        <v>13200000</v>
      </c>
      <c r="L297" s="186">
        <f>J297+K297</f>
        <v>133200000</v>
      </c>
      <c r="M297" s="214" t="s">
        <v>1126</v>
      </c>
      <c r="N297" s="211">
        <v>130800000</v>
      </c>
      <c r="O297" s="167">
        <f t="shared" ref="O297:O325" si="55">L297-N297</f>
        <v>2400000</v>
      </c>
      <c r="P297" s="183" t="s">
        <v>206</v>
      </c>
    </row>
    <row r="298" spans="1:17" s="17" customFormat="1" ht="48" x14ac:dyDescent="0.35">
      <c r="A298" s="99">
        <v>2</v>
      </c>
      <c r="B298" s="101" t="s">
        <v>618</v>
      </c>
      <c r="C298" s="99" t="s">
        <v>1056</v>
      </c>
      <c r="D298" s="102">
        <v>45936</v>
      </c>
      <c r="E298" s="102">
        <v>45938</v>
      </c>
      <c r="F298" s="91" t="s">
        <v>1074</v>
      </c>
      <c r="G298" s="92" t="s">
        <v>1075</v>
      </c>
      <c r="H298" s="102">
        <v>45908</v>
      </c>
      <c r="I298" s="94">
        <v>13642500</v>
      </c>
      <c r="J298" s="94">
        <v>13642500</v>
      </c>
      <c r="K298" s="95">
        <f t="shared" ref="K298:K325" si="56">J298*11%</f>
        <v>1500675</v>
      </c>
      <c r="L298" s="112">
        <f t="shared" ref="L298:L319" si="57">J298+K298</f>
        <v>15143175</v>
      </c>
      <c r="M298" s="99"/>
      <c r="N298" s="94"/>
      <c r="O298" s="103">
        <f t="shared" si="55"/>
        <v>15143175</v>
      </c>
      <c r="P298" s="92"/>
    </row>
    <row r="299" spans="1:17" s="169" customFormat="1" x14ac:dyDescent="0.35">
      <c r="A299" s="160">
        <v>3</v>
      </c>
      <c r="B299" s="161" t="s">
        <v>1076</v>
      </c>
      <c r="C299" s="160" t="s">
        <v>1057</v>
      </c>
      <c r="D299" s="162">
        <v>45936</v>
      </c>
      <c r="E299" s="162">
        <v>45939</v>
      </c>
      <c r="F299" s="164" t="s">
        <v>1077</v>
      </c>
      <c r="G299" s="165" t="s">
        <v>1078</v>
      </c>
      <c r="H299" s="162">
        <v>45933</v>
      </c>
      <c r="I299" s="166">
        <v>230000000</v>
      </c>
      <c r="J299" s="166">
        <v>103603604</v>
      </c>
      <c r="K299" s="176">
        <f t="shared" si="56"/>
        <v>11396396.439999999</v>
      </c>
      <c r="L299" s="186">
        <f t="shared" si="57"/>
        <v>115000000.44</v>
      </c>
      <c r="M299" s="160" t="s">
        <v>1111</v>
      </c>
      <c r="N299" s="166">
        <v>115000000</v>
      </c>
      <c r="O299" s="167">
        <f t="shared" si="55"/>
        <v>0.43999999761581421</v>
      </c>
      <c r="P299" s="165"/>
    </row>
    <row r="300" spans="1:17" s="169" customFormat="1" ht="30" customHeight="1" x14ac:dyDescent="0.35">
      <c r="A300" s="160">
        <v>4</v>
      </c>
      <c r="B300" s="161" t="s">
        <v>1079</v>
      </c>
      <c r="C300" s="142" t="s">
        <v>1058</v>
      </c>
      <c r="D300" s="162">
        <v>45936</v>
      </c>
      <c r="E300" s="162">
        <v>45943</v>
      </c>
      <c r="F300" s="164" t="s">
        <v>1080</v>
      </c>
      <c r="G300" s="165" t="s">
        <v>1081</v>
      </c>
      <c r="H300" s="162">
        <v>45680</v>
      </c>
      <c r="I300" s="166">
        <v>193140000</v>
      </c>
      <c r="J300" s="166">
        <v>36000000</v>
      </c>
      <c r="K300" s="166">
        <f t="shared" si="56"/>
        <v>3960000</v>
      </c>
      <c r="L300" s="167">
        <f t="shared" si="57"/>
        <v>39960000</v>
      </c>
      <c r="M300" s="163" t="s">
        <v>1201</v>
      </c>
      <c r="N300" s="166">
        <v>39240000</v>
      </c>
      <c r="O300" s="167">
        <f t="shared" si="55"/>
        <v>720000</v>
      </c>
      <c r="P300" s="288" t="s">
        <v>206</v>
      </c>
    </row>
    <row r="301" spans="1:17" s="217" customFormat="1" ht="48" x14ac:dyDescent="0.35">
      <c r="A301" s="160">
        <v>5</v>
      </c>
      <c r="B301" s="161" t="s">
        <v>123</v>
      </c>
      <c r="C301" s="142" t="s">
        <v>1059</v>
      </c>
      <c r="D301" s="162">
        <v>45936</v>
      </c>
      <c r="E301" s="162">
        <v>45940</v>
      </c>
      <c r="F301" s="164" t="s">
        <v>1082</v>
      </c>
      <c r="G301" s="183" t="s">
        <v>690</v>
      </c>
      <c r="H301" s="175">
        <v>45643</v>
      </c>
      <c r="I301" s="176">
        <v>2845430888</v>
      </c>
      <c r="J301" s="241">
        <v>203286250</v>
      </c>
      <c r="K301" s="166">
        <f t="shared" si="56"/>
        <v>22361487.5</v>
      </c>
      <c r="L301" s="167">
        <f t="shared" si="57"/>
        <v>225647737.5</v>
      </c>
      <c r="M301" s="163" t="s">
        <v>1202</v>
      </c>
      <c r="N301" s="166">
        <v>222090229</v>
      </c>
      <c r="O301" s="167">
        <f t="shared" si="55"/>
        <v>3557508.5</v>
      </c>
      <c r="P301" s="165" t="s">
        <v>1203</v>
      </c>
    </row>
    <row r="302" spans="1:17" s="17" customFormat="1" ht="24" x14ac:dyDescent="0.35">
      <c r="A302" s="99">
        <v>6</v>
      </c>
      <c r="B302" s="101" t="s">
        <v>141</v>
      </c>
      <c r="C302" s="99" t="s">
        <v>1060</v>
      </c>
      <c r="D302" s="102">
        <v>45937</v>
      </c>
      <c r="E302" s="102">
        <v>45939</v>
      </c>
      <c r="F302" s="91" t="s">
        <v>1083</v>
      </c>
      <c r="G302" s="92" t="s">
        <v>1084</v>
      </c>
      <c r="H302" s="102">
        <v>45923</v>
      </c>
      <c r="I302" s="94">
        <v>46065000</v>
      </c>
      <c r="J302" s="94">
        <v>10375000</v>
      </c>
      <c r="K302" s="94">
        <f t="shared" si="56"/>
        <v>1141250</v>
      </c>
      <c r="L302" s="103">
        <f t="shared" si="57"/>
        <v>11516250</v>
      </c>
      <c r="M302" s="93"/>
      <c r="N302" s="94"/>
      <c r="O302" s="103">
        <f t="shared" si="55"/>
        <v>11516250</v>
      </c>
      <c r="P302" s="92"/>
      <c r="Q302" s="80"/>
    </row>
    <row r="303" spans="1:17" s="169" customFormat="1" ht="48" x14ac:dyDescent="0.35">
      <c r="A303" s="160">
        <v>7</v>
      </c>
      <c r="B303" s="161" t="s">
        <v>1085</v>
      </c>
      <c r="C303" s="160" t="s">
        <v>1061</v>
      </c>
      <c r="D303" s="162">
        <v>45937</v>
      </c>
      <c r="E303" s="175">
        <v>45938</v>
      </c>
      <c r="F303" s="185" t="s">
        <v>1086</v>
      </c>
      <c r="G303" s="183" t="s">
        <v>1087</v>
      </c>
      <c r="H303" s="175">
        <v>45936</v>
      </c>
      <c r="I303" s="176">
        <v>630088569</v>
      </c>
      <c r="J303" s="176">
        <v>113529472</v>
      </c>
      <c r="K303" s="166">
        <f t="shared" si="56"/>
        <v>12488241.92</v>
      </c>
      <c r="L303" s="186">
        <f t="shared" si="57"/>
        <v>126017713.92</v>
      </c>
      <c r="M303" s="252" t="s">
        <v>1130</v>
      </c>
      <c r="N303" s="254">
        <v>137640537</v>
      </c>
      <c r="O303" s="249">
        <f>L303+L304+L305-N303</f>
        <v>0.24000000953674316</v>
      </c>
      <c r="P303" s="183"/>
      <c r="Q303" s="217"/>
    </row>
    <row r="304" spans="1:17" s="169" customFormat="1" ht="36" x14ac:dyDescent="0.35">
      <c r="A304" s="160">
        <v>8</v>
      </c>
      <c r="B304" s="161" t="s">
        <v>1085</v>
      </c>
      <c r="C304" s="160" t="s">
        <v>1062</v>
      </c>
      <c r="D304" s="162">
        <v>45937</v>
      </c>
      <c r="E304" s="175">
        <v>45938</v>
      </c>
      <c r="F304" s="185" t="s">
        <v>1090</v>
      </c>
      <c r="G304" s="183" t="s">
        <v>1088</v>
      </c>
      <c r="H304" s="175">
        <v>45936</v>
      </c>
      <c r="I304" s="176">
        <v>52485270</v>
      </c>
      <c r="J304" s="176">
        <v>9456805</v>
      </c>
      <c r="K304" s="166">
        <f t="shared" si="56"/>
        <v>1040248.55</v>
      </c>
      <c r="L304" s="186">
        <f t="shared" si="57"/>
        <v>10497053.550000001</v>
      </c>
      <c r="M304" s="256"/>
      <c r="N304" s="257"/>
      <c r="O304" s="250"/>
      <c r="P304" s="183"/>
      <c r="Q304" s="217"/>
    </row>
    <row r="305" spans="1:17" s="169" customFormat="1" x14ac:dyDescent="0.35">
      <c r="A305" s="160">
        <v>9</v>
      </c>
      <c r="B305" s="161" t="s">
        <v>1085</v>
      </c>
      <c r="C305" s="160" t="s">
        <v>1063</v>
      </c>
      <c r="D305" s="162">
        <v>45937</v>
      </c>
      <c r="E305" s="175">
        <v>45938</v>
      </c>
      <c r="F305" s="185" t="s">
        <v>1091</v>
      </c>
      <c r="G305" s="183" t="s">
        <v>1089</v>
      </c>
      <c r="H305" s="175">
        <v>45936</v>
      </c>
      <c r="I305" s="176">
        <v>5628848</v>
      </c>
      <c r="J305" s="176">
        <v>1014207</v>
      </c>
      <c r="K305" s="166">
        <f t="shared" si="56"/>
        <v>111562.77</v>
      </c>
      <c r="L305" s="186">
        <f t="shared" si="57"/>
        <v>1125769.77</v>
      </c>
      <c r="M305" s="253"/>
      <c r="N305" s="255"/>
      <c r="O305" s="251"/>
      <c r="P305" s="183"/>
      <c r="Q305" s="217"/>
    </row>
    <row r="306" spans="1:17" s="17" customFormat="1" x14ac:dyDescent="0.35">
      <c r="A306" s="99">
        <v>10</v>
      </c>
      <c r="B306" s="101" t="s">
        <v>1092</v>
      </c>
      <c r="C306" s="99" t="s">
        <v>1064</v>
      </c>
      <c r="D306" s="102">
        <v>45937</v>
      </c>
      <c r="E306" s="102">
        <v>45939</v>
      </c>
      <c r="F306" s="189" t="s">
        <v>1093</v>
      </c>
      <c r="G306" s="92" t="s">
        <v>1094</v>
      </c>
      <c r="H306" s="102">
        <v>45883</v>
      </c>
      <c r="I306" s="94">
        <v>11100000</v>
      </c>
      <c r="J306" s="95">
        <v>10000000</v>
      </c>
      <c r="K306" s="94">
        <f t="shared" si="56"/>
        <v>1100000</v>
      </c>
      <c r="L306" s="112">
        <f t="shared" si="57"/>
        <v>11100000</v>
      </c>
      <c r="M306" s="89"/>
      <c r="N306" s="96"/>
      <c r="O306" s="103">
        <f t="shared" si="55"/>
        <v>11100000</v>
      </c>
      <c r="P306" s="97"/>
      <c r="Q306" s="80"/>
    </row>
    <row r="307" spans="1:17" s="169" customFormat="1" x14ac:dyDescent="0.35">
      <c r="A307" s="99">
        <v>11</v>
      </c>
      <c r="B307" s="101" t="s">
        <v>719</v>
      </c>
      <c r="C307" s="99" t="s">
        <v>1065</v>
      </c>
      <c r="D307" s="102">
        <v>45937</v>
      </c>
      <c r="E307" s="102">
        <v>45939</v>
      </c>
      <c r="F307" s="104" t="s">
        <v>1095</v>
      </c>
      <c r="G307" s="97" t="s">
        <v>721</v>
      </c>
      <c r="H307" s="102">
        <v>45840</v>
      </c>
      <c r="I307" s="95">
        <v>396270000</v>
      </c>
      <c r="J307" s="94">
        <v>142800000</v>
      </c>
      <c r="K307" s="94">
        <f t="shared" si="56"/>
        <v>15708000</v>
      </c>
      <c r="L307" s="112">
        <f t="shared" si="57"/>
        <v>158508000</v>
      </c>
      <c r="M307" s="213"/>
      <c r="N307" s="212"/>
      <c r="O307" s="103">
        <f t="shared" si="55"/>
        <v>158508000</v>
      </c>
      <c r="P307" s="97"/>
      <c r="Q307" s="217"/>
    </row>
    <row r="308" spans="1:17" s="17" customFormat="1" x14ac:dyDescent="0.35">
      <c r="A308" s="99">
        <v>12</v>
      </c>
      <c r="B308" s="101" t="s">
        <v>603</v>
      </c>
      <c r="C308" s="99" t="s">
        <v>1066</v>
      </c>
      <c r="D308" s="102">
        <v>45937</v>
      </c>
      <c r="E308" s="102">
        <v>45939</v>
      </c>
      <c r="F308" s="104" t="s">
        <v>1096</v>
      </c>
      <c r="G308" s="97" t="s">
        <v>1097</v>
      </c>
      <c r="H308" s="90">
        <v>45873</v>
      </c>
      <c r="I308" s="94">
        <v>7242750</v>
      </c>
      <c r="J308" s="95">
        <v>6525000</v>
      </c>
      <c r="K308" s="94">
        <f t="shared" si="56"/>
        <v>717750</v>
      </c>
      <c r="L308" s="112">
        <f t="shared" si="57"/>
        <v>7242750</v>
      </c>
      <c r="M308" s="89"/>
      <c r="N308" s="96"/>
      <c r="O308" s="103">
        <f t="shared" si="55"/>
        <v>7242750</v>
      </c>
      <c r="P308" s="97"/>
      <c r="Q308" s="80"/>
    </row>
    <row r="309" spans="1:17" s="17" customFormat="1" x14ac:dyDescent="0.35">
      <c r="A309" s="99">
        <v>13</v>
      </c>
      <c r="B309" s="101" t="s">
        <v>603</v>
      </c>
      <c r="C309" s="99" t="s">
        <v>1067</v>
      </c>
      <c r="D309" s="102">
        <v>45937</v>
      </c>
      <c r="E309" s="102">
        <v>45939</v>
      </c>
      <c r="F309" s="91" t="s">
        <v>1098</v>
      </c>
      <c r="G309" s="92" t="s">
        <v>1099</v>
      </c>
      <c r="H309" s="102">
        <v>45840</v>
      </c>
      <c r="I309" s="94">
        <v>17205000</v>
      </c>
      <c r="J309" s="95">
        <v>15500000</v>
      </c>
      <c r="K309" s="94">
        <f t="shared" si="56"/>
        <v>1705000</v>
      </c>
      <c r="L309" s="112">
        <f t="shared" si="57"/>
        <v>17205000</v>
      </c>
      <c r="M309" s="89"/>
      <c r="N309" s="96"/>
      <c r="O309" s="103">
        <f t="shared" si="55"/>
        <v>17205000</v>
      </c>
      <c r="P309" s="97"/>
      <c r="Q309" s="80"/>
    </row>
    <row r="310" spans="1:17" s="169" customFormat="1" ht="24" x14ac:dyDescent="0.35">
      <c r="A310" s="160">
        <v>14</v>
      </c>
      <c r="B310" s="161" t="s">
        <v>198</v>
      </c>
      <c r="C310" s="142" t="s">
        <v>1068</v>
      </c>
      <c r="D310" s="162">
        <v>45939</v>
      </c>
      <c r="E310" s="175">
        <v>45940</v>
      </c>
      <c r="F310" s="164" t="s">
        <v>1101</v>
      </c>
      <c r="G310" s="173" t="s">
        <v>200</v>
      </c>
      <c r="H310" s="175">
        <v>45656</v>
      </c>
      <c r="I310" s="166">
        <v>41292000</v>
      </c>
      <c r="J310" s="176">
        <v>10800000</v>
      </c>
      <c r="K310" s="166">
        <f t="shared" si="56"/>
        <v>1188000</v>
      </c>
      <c r="L310" s="186">
        <f t="shared" si="57"/>
        <v>11988000</v>
      </c>
      <c r="M310" s="240" t="s">
        <v>1442</v>
      </c>
      <c r="N310" s="241">
        <v>11772000</v>
      </c>
      <c r="O310" s="167">
        <f t="shared" si="55"/>
        <v>216000</v>
      </c>
      <c r="P310" s="183" t="s">
        <v>206</v>
      </c>
      <c r="Q310" s="217"/>
    </row>
    <row r="311" spans="1:17" s="169" customFormat="1" x14ac:dyDescent="0.35">
      <c r="A311" s="160">
        <v>15</v>
      </c>
      <c r="B311" s="161" t="s">
        <v>150</v>
      </c>
      <c r="C311" s="142" t="s">
        <v>1069</v>
      </c>
      <c r="D311" s="162">
        <v>45939</v>
      </c>
      <c r="E311" s="175">
        <v>45940</v>
      </c>
      <c r="F311" s="164" t="s">
        <v>1102</v>
      </c>
      <c r="G311" s="183" t="s">
        <v>152</v>
      </c>
      <c r="H311" s="162">
        <v>45589</v>
      </c>
      <c r="I311" s="176">
        <v>21933600</v>
      </c>
      <c r="J311" s="166">
        <v>3293333</v>
      </c>
      <c r="K311" s="166">
        <f t="shared" si="56"/>
        <v>362266.63</v>
      </c>
      <c r="L311" s="186">
        <f t="shared" si="57"/>
        <v>3655599.63</v>
      </c>
      <c r="M311" s="214" t="s">
        <v>1219</v>
      </c>
      <c r="N311" s="211">
        <v>3589733</v>
      </c>
      <c r="O311" s="167">
        <f t="shared" si="55"/>
        <v>65866.629999999888</v>
      </c>
      <c r="P311" s="183" t="s">
        <v>206</v>
      </c>
      <c r="Q311" s="217"/>
    </row>
    <row r="312" spans="1:17" s="169" customFormat="1" ht="60" x14ac:dyDescent="0.35">
      <c r="A312" s="160">
        <v>16</v>
      </c>
      <c r="B312" s="161" t="s">
        <v>123</v>
      </c>
      <c r="C312" s="142" t="s">
        <v>1070</v>
      </c>
      <c r="D312" s="162">
        <v>45939</v>
      </c>
      <c r="E312" s="175">
        <v>45940</v>
      </c>
      <c r="F312" s="164" t="s">
        <v>1103</v>
      </c>
      <c r="G312" s="165" t="s">
        <v>1104</v>
      </c>
      <c r="H312" s="162">
        <v>45833</v>
      </c>
      <c r="I312" s="166">
        <v>150161688</v>
      </c>
      <c r="J312" s="176">
        <v>135280800</v>
      </c>
      <c r="K312" s="166">
        <f t="shared" si="56"/>
        <v>14880888</v>
      </c>
      <c r="L312" s="186">
        <f t="shared" si="57"/>
        <v>150161688</v>
      </c>
      <c r="M312" s="252" t="s">
        <v>1202</v>
      </c>
      <c r="N312" s="166">
        <v>147794274</v>
      </c>
      <c r="O312" s="167">
        <f t="shared" si="55"/>
        <v>2367414</v>
      </c>
      <c r="P312" s="165" t="s">
        <v>1204</v>
      </c>
      <c r="Q312" s="217"/>
    </row>
    <row r="313" spans="1:17" s="169" customFormat="1" ht="24" x14ac:dyDescent="0.35">
      <c r="A313" s="160">
        <v>17</v>
      </c>
      <c r="B313" s="161" t="s">
        <v>123</v>
      </c>
      <c r="C313" s="142" t="s">
        <v>1071</v>
      </c>
      <c r="D313" s="162">
        <v>45939</v>
      </c>
      <c r="E313" s="175">
        <v>45940</v>
      </c>
      <c r="F313" s="185" t="s">
        <v>1105</v>
      </c>
      <c r="G313" s="183" t="s">
        <v>1106</v>
      </c>
      <c r="H313" s="175">
        <v>45845</v>
      </c>
      <c r="I313" s="176">
        <v>21312000</v>
      </c>
      <c r="J313" s="176">
        <v>19200000</v>
      </c>
      <c r="K313" s="166">
        <f t="shared" si="56"/>
        <v>2112000</v>
      </c>
      <c r="L313" s="186">
        <f t="shared" si="57"/>
        <v>21312000</v>
      </c>
      <c r="M313" s="253"/>
      <c r="N313" s="166">
        <v>20976000</v>
      </c>
      <c r="O313" s="167">
        <f t="shared" si="55"/>
        <v>336000</v>
      </c>
      <c r="P313" s="165" t="s">
        <v>1205</v>
      </c>
      <c r="Q313" s="217"/>
    </row>
    <row r="314" spans="1:17" s="17" customFormat="1" ht="24" x14ac:dyDescent="0.35">
      <c r="A314" s="99">
        <v>18</v>
      </c>
      <c r="B314" s="101" t="s">
        <v>1107</v>
      </c>
      <c r="C314" s="99" t="s">
        <v>1072</v>
      </c>
      <c r="D314" s="102">
        <v>45939</v>
      </c>
      <c r="E314" s="90">
        <v>45940</v>
      </c>
      <c r="F314" s="104" t="s">
        <v>1108</v>
      </c>
      <c r="G314" s="97">
        <v>4516646571</v>
      </c>
      <c r="H314" s="90">
        <v>45929</v>
      </c>
      <c r="I314" s="95">
        <v>1113732211</v>
      </c>
      <c r="J314" s="95">
        <v>1003362352</v>
      </c>
      <c r="K314" s="94">
        <f t="shared" si="56"/>
        <v>110369858.72</v>
      </c>
      <c r="L314" s="112">
        <f t="shared" si="57"/>
        <v>1113732210.72</v>
      </c>
      <c r="M314" s="89"/>
      <c r="N314" s="96"/>
      <c r="O314" s="103">
        <f t="shared" si="55"/>
        <v>1113732210.72</v>
      </c>
      <c r="P314" s="97"/>
      <c r="Q314" s="80"/>
    </row>
    <row r="315" spans="1:17" s="17" customFormat="1" ht="24" x14ac:dyDescent="0.35">
      <c r="A315" s="99">
        <v>19</v>
      </c>
      <c r="B315" s="101" t="s">
        <v>1107</v>
      </c>
      <c r="C315" s="99" t="s">
        <v>1073</v>
      </c>
      <c r="D315" s="102">
        <v>45939</v>
      </c>
      <c r="E315" s="90">
        <v>45940</v>
      </c>
      <c r="F315" s="104" t="s">
        <v>1109</v>
      </c>
      <c r="G315" s="97">
        <v>4516681231</v>
      </c>
      <c r="H315" s="90">
        <v>45929</v>
      </c>
      <c r="I315" s="95">
        <v>1036559789</v>
      </c>
      <c r="J315" s="95">
        <v>210000000</v>
      </c>
      <c r="K315" s="94">
        <f t="shared" si="56"/>
        <v>23100000</v>
      </c>
      <c r="L315" s="112">
        <f t="shared" si="57"/>
        <v>233100000</v>
      </c>
      <c r="M315" s="89"/>
      <c r="N315" s="96"/>
      <c r="O315" s="103">
        <f t="shared" si="55"/>
        <v>233100000</v>
      </c>
      <c r="P315" s="97"/>
      <c r="Q315" s="80"/>
    </row>
    <row r="316" spans="1:17" s="169" customFormat="1" ht="15" customHeight="1" x14ac:dyDescent="0.35">
      <c r="A316" s="160">
        <v>21</v>
      </c>
      <c r="B316" s="161" t="s">
        <v>442</v>
      </c>
      <c r="C316" s="108" t="s">
        <v>1116</v>
      </c>
      <c r="D316" s="175">
        <v>45944</v>
      </c>
      <c r="E316" s="175">
        <v>45945</v>
      </c>
      <c r="F316" s="164" t="s">
        <v>1120</v>
      </c>
      <c r="G316" s="165" t="s">
        <v>445</v>
      </c>
      <c r="H316" s="162">
        <v>45658</v>
      </c>
      <c r="I316" s="166">
        <v>51448500</v>
      </c>
      <c r="J316" s="166">
        <v>11587500</v>
      </c>
      <c r="K316" s="166">
        <f t="shared" si="56"/>
        <v>1274625</v>
      </c>
      <c r="L316" s="186">
        <f t="shared" si="57"/>
        <v>12862125</v>
      </c>
      <c r="M316" s="214" t="s">
        <v>1214</v>
      </c>
      <c r="N316" s="211">
        <v>11355750</v>
      </c>
      <c r="O316" s="167">
        <f t="shared" si="55"/>
        <v>1506375</v>
      </c>
      <c r="P316" s="183" t="s">
        <v>857</v>
      </c>
      <c r="Q316" s="217"/>
    </row>
    <row r="317" spans="1:17" s="169" customFormat="1" ht="30" customHeight="1" x14ac:dyDescent="0.35">
      <c r="A317" s="160">
        <v>20</v>
      </c>
      <c r="B317" s="161" t="s">
        <v>1115</v>
      </c>
      <c r="C317" s="240" t="s">
        <v>1117</v>
      </c>
      <c r="D317" s="175">
        <v>45944</v>
      </c>
      <c r="E317" s="175">
        <v>45945</v>
      </c>
      <c r="F317" s="194" t="s">
        <v>1119</v>
      </c>
      <c r="G317" s="165" t="s">
        <v>1118</v>
      </c>
      <c r="H317" s="162">
        <v>45940</v>
      </c>
      <c r="I317" s="166">
        <v>2997000</v>
      </c>
      <c r="J317" s="166">
        <v>2700000</v>
      </c>
      <c r="K317" s="166">
        <f t="shared" ref="K317" si="58">J317*11%</f>
        <v>297000</v>
      </c>
      <c r="L317" s="186">
        <f t="shared" ref="L317" si="59">J317+K317</f>
        <v>2997000</v>
      </c>
      <c r="M317" s="240" t="s">
        <v>1439</v>
      </c>
      <c r="N317" s="241">
        <v>2994100</v>
      </c>
      <c r="O317" s="167">
        <f t="shared" ref="O317" si="60">L317-N317</f>
        <v>2900</v>
      </c>
      <c r="P317" s="183" t="s">
        <v>359</v>
      </c>
      <c r="Q317" s="217"/>
    </row>
    <row r="318" spans="1:17" s="169" customFormat="1" ht="24" x14ac:dyDescent="0.35">
      <c r="A318" s="160">
        <v>22</v>
      </c>
      <c r="B318" s="161" t="s">
        <v>1115</v>
      </c>
      <c r="C318" s="108" t="s">
        <v>1123</v>
      </c>
      <c r="D318" s="175">
        <v>45945</v>
      </c>
      <c r="E318" s="175">
        <v>45946</v>
      </c>
      <c r="F318" s="194" t="s">
        <v>1122</v>
      </c>
      <c r="G318" s="183" t="s">
        <v>1124</v>
      </c>
      <c r="H318" s="175">
        <v>45911</v>
      </c>
      <c r="I318" s="176">
        <v>13653000</v>
      </c>
      <c r="J318" s="176">
        <v>12300000</v>
      </c>
      <c r="K318" s="166">
        <f t="shared" si="56"/>
        <v>1353000</v>
      </c>
      <c r="L318" s="186">
        <f t="shared" si="57"/>
        <v>13653000</v>
      </c>
      <c r="M318" s="240" t="s">
        <v>1439</v>
      </c>
      <c r="N318" s="241">
        <v>13404100</v>
      </c>
      <c r="O318" s="167">
        <f t="shared" si="55"/>
        <v>248900</v>
      </c>
      <c r="P318" s="183" t="s">
        <v>1440</v>
      </c>
      <c r="Q318" s="217"/>
    </row>
    <row r="319" spans="1:17" s="169" customFormat="1" ht="36" x14ac:dyDescent="0.35">
      <c r="A319" s="160">
        <v>23</v>
      </c>
      <c r="B319" s="183" t="s">
        <v>174</v>
      </c>
      <c r="C319" s="108" t="s">
        <v>1127</v>
      </c>
      <c r="D319" s="175">
        <v>45947</v>
      </c>
      <c r="E319" s="175">
        <v>45951</v>
      </c>
      <c r="F319" s="164" t="s">
        <v>1128</v>
      </c>
      <c r="G319" s="183" t="s">
        <v>1129</v>
      </c>
      <c r="H319" s="162">
        <v>45888</v>
      </c>
      <c r="I319" s="176">
        <v>97125000</v>
      </c>
      <c r="J319" s="166">
        <v>21875000</v>
      </c>
      <c r="K319" s="166">
        <f t="shared" si="56"/>
        <v>2406250</v>
      </c>
      <c r="L319" s="186">
        <f t="shared" si="57"/>
        <v>24281250</v>
      </c>
      <c r="M319" s="240" t="s">
        <v>1441</v>
      </c>
      <c r="N319" s="241">
        <v>21437500</v>
      </c>
      <c r="O319" s="167">
        <f t="shared" si="55"/>
        <v>2843750</v>
      </c>
      <c r="P319" s="183" t="s">
        <v>1250</v>
      </c>
    </row>
    <row r="320" spans="1:17" s="169" customFormat="1" x14ac:dyDescent="0.35">
      <c r="A320" s="160">
        <v>24</v>
      </c>
      <c r="B320" s="183" t="s">
        <v>44</v>
      </c>
      <c r="C320" s="108" t="s">
        <v>1147</v>
      </c>
      <c r="D320" s="175">
        <v>45954</v>
      </c>
      <c r="E320" s="175">
        <v>45954</v>
      </c>
      <c r="F320" s="164" t="s">
        <v>1145</v>
      </c>
      <c r="G320" s="165" t="s">
        <v>236</v>
      </c>
      <c r="H320" s="162">
        <v>45664</v>
      </c>
      <c r="I320" s="166">
        <v>809190000</v>
      </c>
      <c r="J320" s="166">
        <v>60750000</v>
      </c>
      <c r="K320" s="166">
        <f t="shared" si="56"/>
        <v>6682500</v>
      </c>
      <c r="L320" s="186">
        <f t="shared" ref="L320:L325" si="61">J320+K320</f>
        <v>67432500</v>
      </c>
      <c r="M320" s="240" t="s">
        <v>1240</v>
      </c>
      <c r="N320" s="241">
        <v>66217500</v>
      </c>
      <c r="O320" s="167">
        <f t="shared" si="55"/>
        <v>1215000</v>
      </c>
      <c r="P320" s="183" t="s">
        <v>206</v>
      </c>
    </row>
    <row r="321" spans="1:18" s="40" customFormat="1" ht="36" x14ac:dyDescent="0.35">
      <c r="A321" s="99">
        <v>25</v>
      </c>
      <c r="B321" s="97" t="s">
        <v>339</v>
      </c>
      <c r="C321" s="203" t="s">
        <v>1149</v>
      </c>
      <c r="D321" s="90">
        <v>45957</v>
      </c>
      <c r="E321" s="90">
        <v>45959</v>
      </c>
      <c r="F321" s="91" t="s">
        <v>1153</v>
      </c>
      <c r="G321" s="92" t="s">
        <v>781</v>
      </c>
      <c r="H321" s="93">
        <v>45849</v>
      </c>
      <c r="I321" s="94">
        <v>12487500</v>
      </c>
      <c r="J321" s="95">
        <v>7875000</v>
      </c>
      <c r="K321" s="94">
        <f t="shared" si="56"/>
        <v>866250</v>
      </c>
      <c r="L321" s="112">
        <f t="shared" si="61"/>
        <v>8741250</v>
      </c>
      <c r="M321" s="203"/>
      <c r="N321" s="202"/>
      <c r="O321" s="103">
        <f t="shared" si="55"/>
        <v>8741250</v>
      </c>
      <c r="P321" s="97"/>
    </row>
    <row r="322" spans="1:18" s="40" customFormat="1" ht="12" x14ac:dyDescent="0.35">
      <c r="A322" s="99">
        <v>26</v>
      </c>
      <c r="B322" s="97" t="s">
        <v>339</v>
      </c>
      <c r="C322" s="203" t="s">
        <v>1150</v>
      </c>
      <c r="D322" s="90">
        <v>45957</v>
      </c>
      <c r="E322" s="90">
        <v>45959</v>
      </c>
      <c r="F322" s="101" t="s">
        <v>1154</v>
      </c>
      <c r="G322" s="92" t="s">
        <v>332</v>
      </c>
      <c r="H322" s="102">
        <v>45730</v>
      </c>
      <c r="I322" s="94">
        <v>286785150</v>
      </c>
      <c r="J322" s="95">
        <v>180855500</v>
      </c>
      <c r="K322" s="94">
        <f t="shared" si="56"/>
        <v>19894105</v>
      </c>
      <c r="L322" s="112">
        <f t="shared" si="61"/>
        <v>200749605</v>
      </c>
      <c r="M322" s="203"/>
      <c r="N322" s="202"/>
      <c r="O322" s="103">
        <f t="shared" si="55"/>
        <v>200749605</v>
      </c>
      <c r="P322" s="97"/>
    </row>
    <row r="323" spans="1:18" s="40" customFormat="1" ht="12" x14ac:dyDescent="0.35">
      <c r="A323" s="99">
        <v>27</v>
      </c>
      <c r="B323" s="97" t="s">
        <v>341</v>
      </c>
      <c r="C323" s="203" t="s">
        <v>1151</v>
      </c>
      <c r="D323" s="90">
        <v>45957</v>
      </c>
      <c r="E323" s="90">
        <v>45959</v>
      </c>
      <c r="F323" s="101" t="s">
        <v>1155</v>
      </c>
      <c r="G323" s="92" t="s">
        <v>333</v>
      </c>
      <c r="H323" s="102">
        <v>45730</v>
      </c>
      <c r="I323" s="206">
        <v>349439100</v>
      </c>
      <c r="J323" s="95">
        <v>220367000</v>
      </c>
      <c r="K323" s="94">
        <f t="shared" si="56"/>
        <v>24240370</v>
      </c>
      <c r="L323" s="112">
        <f t="shared" si="61"/>
        <v>244607370</v>
      </c>
      <c r="M323" s="203"/>
      <c r="N323" s="202"/>
      <c r="O323" s="103">
        <f t="shared" si="55"/>
        <v>244607370</v>
      </c>
      <c r="P323" s="97"/>
    </row>
    <row r="324" spans="1:18" s="40" customFormat="1" ht="12" x14ac:dyDescent="0.35">
      <c r="A324" s="99">
        <v>28</v>
      </c>
      <c r="B324" s="97" t="s">
        <v>337</v>
      </c>
      <c r="C324" s="203" t="s">
        <v>1152</v>
      </c>
      <c r="D324" s="90">
        <v>45957</v>
      </c>
      <c r="E324" s="90">
        <v>45959</v>
      </c>
      <c r="F324" s="101" t="s">
        <v>1156</v>
      </c>
      <c r="G324" s="92" t="s">
        <v>331</v>
      </c>
      <c r="H324" s="102">
        <v>45730</v>
      </c>
      <c r="I324" s="95">
        <v>541735500</v>
      </c>
      <c r="J324" s="95">
        <v>341635000</v>
      </c>
      <c r="K324" s="94">
        <f t="shared" si="56"/>
        <v>37579850</v>
      </c>
      <c r="L324" s="112">
        <f t="shared" si="61"/>
        <v>379214850</v>
      </c>
      <c r="M324" s="203"/>
      <c r="N324" s="202"/>
      <c r="O324" s="103">
        <f t="shared" si="55"/>
        <v>379214850</v>
      </c>
      <c r="P324" s="97"/>
    </row>
    <row r="325" spans="1:18" s="196" customFormat="1" ht="12" x14ac:dyDescent="0.35">
      <c r="A325" s="160">
        <v>29</v>
      </c>
      <c r="B325" s="183" t="s">
        <v>396</v>
      </c>
      <c r="C325" s="240" t="s">
        <v>1221</v>
      </c>
      <c r="D325" s="175">
        <v>45961</v>
      </c>
      <c r="E325" s="175">
        <v>45979</v>
      </c>
      <c r="F325" s="171" t="s">
        <v>1222</v>
      </c>
      <c r="G325" s="165" t="s">
        <v>231</v>
      </c>
      <c r="H325" s="163">
        <v>45586</v>
      </c>
      <c r="I325" s="166">
        <v>1232100000</v>
      </c>
      <c r="J325" s="176">
        <v>77189189</v>
      </c>
      <c r="K325" s="166">
        <f t="shared" si="56"/>
        <v>8490810.790000001</v>
      </c>
      <c r="L325" s="186">
        <f t="shared" si="61"/>
        <v>85679999.790000007</v>
      </c>
      <c r="M325" s="240" t="s">
        <v>1224</v>
      </c>
      <c r="N325" s="241">
        <v>85680000</v>
      </c>
      <c r="O325" s="167">
        <f t="shared" si="55"/>
        <v>-0.20999999344348907</v>
      </c>
      <c r="P325" s="183"/>
    </row>
    <row r="326" spans="1:18" s="17" customFormat="1" ht="30.75" customHeight="1" x14ac:dyDescent="0.35">
      <c r="A326" s="273" t="s">
        <v>41</v>
      </c>
      <c r="B326" s="273"/>
      <c r="C326" s="273"/>
      <c r="D326" s="273"/>
      <c r="E326" s="273"/>
      <c r="F326" s="273"/>
      <c r="G326" s="273"/>
      <c r="H326" s="273"/>
      <c r="I326" s="61">
        <f>SUM(I297:I325)</f>
        <v>10363450863</v>
      </c>
      <c r="J326" s="61">
        <f>SUM(J297:J325)</f>
        <v>3104803512</v>
      </c>
      <c r="K326" s="61">
        <f>SUM(K297:K325)</f>
        <v>341528386.31999999</v>
      </c>
      <c r="L326" s="68">
        <f>SUM(L297:L325)</f>
        <v>3446331898.3199997</v>
      </c>
      <c r="M326" s="46"/>
      <c r="N326" s="47">
        <f>SUM(N297:N325)</f>
        <v>1029991723</v>
      </c>
      <c r="O326" s="68">
        <f>SUM(O297:O325)</f>
        <v>2416340175.3199997</v>
      </c>
      <c r="P326" s="149"/>
    </row>
    <row r="327" spans="1:18" s="17" customFormat="1" ht="38.25" customHeight="1" x14ac:dyDescent="0.35">
      <c r="A327" s="51"/>
      <c r="B327" s="52"/>
      <c r="C327" s="51"/>
      <c r="D327" s="53"/>
      <c r="E327" s="80"/>
      <c r="F327" s="40"/>
      <c r="G327" s="51"/>
      <c r="H327" s="53"/>
      <c r="I327" s="63"/>
      <c r="J327" s="63"/>
      <c r="K327" s="63"/>
      <c r="L327" s="64"/>
      <c r="M327" s="80"/>
      <c r="N327" s="81"/>
      <c r="P327" s="7"/>
    </row>
    <row r="328" spans="1:18" s="17" customFormat="1" ht="24" x14ac:dyDescent="0.35">
      <c r="A328" s="99">
        <v>1</v>
      </c>
      <c r="B328" s="101" t="s">
        <v>843</v>
      </c>
      <c r="C328" s="99" t="s">
        <v>1163</v>
      </c>
      <c r="D328" s="102">
        <v>45965</v>
      </c>
      <c r="E328" s="102">
        <v>45966</v>
      </c>
      <c r="F328" s="91" t="s">
        <v>1164</v>
      </c>
      <c r="G328" s="92">
        <v>4516242573</v>
      </c>
      <c r="H328" s="102">
        <v>45796</v>
      </c>
      <c r="I328" s="100">
        <v>1332000000</v>
      </c>
      <c r="J328" s="100">
        <v>260000000</v>
      </c>
      <c r="K328" s="100">
        <f>J328*11%</f>
        <v>28600000</v>
      </c>
      <c r="L328" s="144">
        <f>J328+K328</f>
        <v>288600000</v>
      </c>
      <c r="M328" s="99"/>
      <c r="N328" s="94"/>
      <c r="O328" s="103">
        <f>L328-N328</f>
        <v>288600000</v>
      </c>
      <c r="P328" s="92"/>
    </row>
    <row r="329" spans="1:18" s="17" customFormat="1" ht="28.5" customHeight="1" x14ac:dyDescent="0.35">
      <c r="A329" s="99">
        <v>2</v>
      </c>
      <c r="B329" s="88" t="s">
        <v>1107</v>
      </c>
      <c r="C329" s="208" t="s">
        <v>1255</v>
      </c>
      <c r="D329" s="102">
        <v>45965</v>
      </c>
      <c r="E329" s="102">
        <v>45966</v>
      </c>
      <c r="F329" s="91" t="s">
        <v>1165</v>
      </c>
      <c r="G329" s="92">
        <v>4516681231</v>
      </c>
      <c r="H329" s="102">
        <v>45929</v>
      </c>
      <c r="I329" s="94">
        <v>1036559789</v>
      </c>
      <c r="J329" s="94">
        <v>723837648</v>
      </c>
      <c r="K329" s="100">
        <f t="shared" ref="K329:K366" si="62">J329*11%</f>
        <v>79622141.280000001</v>
      </c>
      <c r="L329" s="144">
        <f t="shared" ref="L329:L366" si="63">J329+K329</f>
        <v>803459789.27999997</v>
      </c>
      <c r="M329" s="99"/>
      <c r="N329" s="94"/>
      <c r="O329" s="103">
        <f t="shared" ref="O329:O366" si="64">L329-N329</f>
        <v>803459789.27999997</v>
      </c>
      <c r="P329" s="92"/>
    </row>
    <row r="330" spans="1:18" s="17" customFormat="1" x14ac:dyDescent="0.35">
      <c r="A330" s="99">
        <v>3</v>
      </c>
      <c r="B330" s="101" t="s">
        <v>1166</v>
      </c>
      <c r="C330" s="208" t="s">
        <v>1256</v>
      </c>
      <c r="D330" s="102">
        <v>45965</v>
      </c>
      <c r="E330" s="102">
        <v>45966</v>
      </c>
      <c r="F330" s="111" t="s">
        <v>1167</v>
      </c>
      <c r="G330" s="92">
        <v>4516676203</v>
      </c>
      <c r="H330" s="102">
        <v>45937</v>
      </c>
      <c r="I330" s="94">
        <v>369630000</v>
      </c>
      <c r="J330" s="94">
        <v>333000000</v>
      </c>
      <c r="K330" s="100">
        <f t="shared" si="62"/>
        <v>36630000</v>
      </c>
      <c r="L330" s="144">
        <f t="shared" si="63"/>
        <v>369630000</v>
      </c>
      <c r="M330" s="99"/>
      <c r="N330" s="94"/>
      <c r="O330" s="103">
        <f t="shared" si="64"/>
        <v>369630000</v>
      </c>
      <c r="P330" s="92"/>
    </row>
    <row r="331" spans="1:18" s="17" customFormat="1" ht="36" x14ac:dyDescent="0.35">
      <c r="A331" s="99">
        <v>4</v>
      </c>
      <c r="B331" s="101" t="s">
        <v>900</v>
      </c>
      <c r="C331" s="208" t="s">
        <v>1257</v>
      </c>
      <c r="D331" s="102">
        <v>45965</v>
      </c>
      <c r="E331" s="102">
        <v>45966</v>
      </c>
      <c r="F331" s="91" t="s">
        <v>1168</v>
      </c>
      <c r="G331" s="92">
        <v>4516288739</v>
      </c>
      <c r="H331" s="102">
        <v>45796</v>
      </c>
      <c r="I331" s="94">
        <v>2150292000</v>
      </c>
      <c r="J331" s="94">
        <v>1237169128</v>
      </c>
      <c r="K331" s="100">
        <f t="shared" si="62"/>
        <v>136088604.08000001</v>
      </c>
      <c r="L331" s="144">
        <f t="shared" si="63"/>
        <v>1373257732.0799999</v>
      </c>
      <c r="M331" s="208"/>
      <c r="N331" s="207"/>
      <c r="O331" s="103">
        <f t="shared" si="64"/>
        <v>1373257732.0799999</v>
      </c>
      <c r="P331" s="97"/>
    </row>
    <row r="332" spans="1:18" s="17" customFormat="1" ht="15" customHeight="1" x14ac:dyDescent="0.35">
      <c r="A332" s="99">
        <v>5</v>
      </c>
      <c r="B332" s="101" t="s">
        <v>198</v>
      </c>
      <c r="C332" s="208" t="s">
        <v>1258</v>
      </c>
      <c r="D332" s="102">
        <v>45965</v>
      </c>
      <c r="E332" s="102">
        <v>45967</v>
      </c>
      <c r="F332" s="91" t="s">
        <v>1169</v>
      </c>
      <c r="G332" s="101" t="s">
        <v>1170</v>
      </c>
      <c r="H332" s="102">
        <v>45951</v>
      </c>
      <c r="I332" s="94">
        <v>50926800</v>
      </c>
      <c r="J332" s="94">
        <v>45880000</v>
      </c>
      <c r="K332" s="100">
        <f t="shared" si="62"/>
        <v>5046800</v>
      </c>
      <c r="L332" s="144">
        <f t="shared" si="63"/>
        <v>50926800</v>
      </c>
      <c r="M332" s="99"/>
      <c r="N332" s="100"/>
      <c r="O332" s="103">
        <f t="shared" si="64"/>
        <v>50926800</v>
      </c>
      <c r="P332" s="92"/>
      <c r="Q332" s="40"/>
      <c r="R332" s="40"/>
    </row>
    <row r="333" spans="1:18" s="17" customFormat="1" x14ac:dyDescent="0.35">
      <c r="A333" s="99">
        <v>6</v>
      </c>
      <c r="B333" s="101" t="s">
        <v>103</v>
      </c>
      <c r="C333" s="208" t="s">
        <v>1259</v>
      </c>
      <c r="D333" s="102">
        <v>45965</v>
      </c>
      <c r="E333" s="90">
        <v>45968</v>
      </c>
      <c r="F333" s="91" t="s">
        <v>1171</v>
      </c>
      <c r="G333" s="92" t="s">
        <v>449</v>
      </c>
      <c r="H333" s="102">
        <v>45763</v>
      </c>
      <c r="I333" s="94">
        <v>11100000</v>
      </c>
      <c r="J333" s="95">
        <v>7000000</v>
      </c>
      <c r="K333" s="100">
        <f t="shared" si="62"/>
        <v>770000</v>
      </c>
      <c r="L333" s="144">
        <f t="shared" si="63"/>
        <v>7770000</v>
      </c>
      <c r="M333" s="99"/>
      <c r="N333" s="100"/>
      <c r="O333" s="103">
        <f t="shared" si="64"/>
        <v>7770000</v>
      </c>
      <c r="P333" s="92"/>
      <c r="Q333" s="40"/>
      <c r="R333" s="40"/>
    </row>
    <row r="334" spans="1:18" s="17" customFormat="1" x14ac:dyDescent="0.35">
      <c r="A334" s="99">
        <v>7</v>
      </c>
      <c r="B334" s="101" t="s">
        <v>779</v>
      </c>
      <c r="C334" s="208" t="s">
        <v>1260</v>
      </c>
      <c r="D334" s="102">
        <v>45965</v>
      </c>
      <c r="E334" s="90">
        <v>45968</v>
      </c>
      <c r="F334" s="101" t="s">
        <v>1174</v>
      </c>
      <c r="G334" s="92" t="s">
        <v>1173</v>
      </c>
      <c r="H334" s="93">
        <v>45849</v>
      </c>
      <c r="I334" s="94">
        <v>406260000</v>
      </c>
      <c r="J334" s="95">
        <v>260700000</v>
      </c>
      <c r="K334" s="100">
        <f t="shared" si="62"/>
        <v>28677000</v>
      </c>
      <c r="L334" s="144">
        <f t="shared" si="63"/>
        <v>289377000</v>
      </c>
      <c r="M334" s="99"/>
      <c r="N334" s="100"/>
      <c r="O334" s="103">
        <f t="shared" si="64"/>
        <v>289377000</v>
      </c>
      <c r="P334" s="92"/>
      <c r="Q334" s="40"/>
      <c r="R334" s="40"/>
    </row>
    <row r="335" spans="1:18" s="17" customFormat="1" x14ac:dyDescent="0.35">
      <c r="A335" s="99">
        <v>8</v>
      </c>
      <c r="B335" s="101" t="s">
        <v>818</v>
      </c>
      <c r="C335" s="208" t="s">
        <v>1261</v>
      </c>
      <c r="D335" s="102">
        <v>45965</v>
      </c>
      <c r="E335" s="90">
        <v>45968</v>
      </c>
      <c r="F335" s="91" t="s">
        <v>551</v>
      </c>
      <c r="G335" s="97" t="s">
        <v>820</v>
      </c>
      <c r="H335" s="102">
        <v>45855</v>
      </c>
      <c r="I335" s="95">
        <v>389610000</v>
      </c>
      <c r="J335" s="94">
        <v>245700000</v>
      </c>
      <c r="K335" s="100">
        <f t="shared" si="62"/>
        <v>27027000</v>
      </c>
      <c r="L335" s="144">
        <f t="shared" si="63"/>
        <v>272727000</v>
      </c>
      <c r="M335" s="99"/>
      <c r="N335" s="100"/>
      <c r="O335" s="103">
        <f t="shared" si="64"/>
        <v>272727000</v>
      </c>
      <c r="P335" s="92"/>
      <c r="Q335" s="40"/>
      <c r="R335" s="40"/>
    </row>
    <row r="336" spans="1:18" s="17" customFormat="1" x14ac:dyDescent="0.35">
      <c r="A336" s="99">
        <v>9</v>
      </c>
      <c r="B336" s="101" t="s">
        <v>103</v>
      </c>
      <c r="C336" s="208" t="s">
        <v>1262</v>
      </c>
      <c r="D336" s="102">
        <v>45965</v>
      </c>
      <c r="E336" s="90">
        <v>45968</v>
      </c>
      <c r="F336" s="91" t="s">
        <v>1175</v>
      </c>
      <c r="G336" s="97" t="s">
        <v>105</v>
      </c>
      <c r="H336" s="102">
        <v>45660</v>
      </c>
      <c r="I336" s="95">
        <v>569430000</v>
      </c>
      <c r="J336" s="95">
        <v>359100000</v>
      </c>
      <c r="K336" s="100">
        <f t="shared" si="62"/>
        <v>39501000</v>
      </c>
      <c r="L336" s="144">
        <f t="shared" si="63"/>
        <v>398601000</v>
      </c>
      <c r="M336" s="99"/>
      <c r="N336" s="100"/>
      <c r="O336" s="103">
        <f t="shared" si="64"/>
        <v>398601000</v>
      </c>
      <c r="P336" s="92"/>
      <c r="Q336" s="40"/>
      <c r="R336" s="40"/>
    </row>
    <row r="337" spans="1:18" s="17" customFormat="1" ht="24" x14ac:dyDescent="0.35">
      <c r="A337" s="99">
        <v>10</v>
      </c>
      <c r="B337" s="101" t="s">
        <v>925</v>
      </c>
      <c r="C337" s="208" t="s">
        <v>1263</v>
      </c>
      <c r="D337" s="102">
        <v>45965</v>
      </c>
      <c r="E337" s="102">
        <v>45968</v>
      </c>
      <c r="F337" s="91" t="s">
        <v>1176</v>
      </c>
      <c r="G337" s="101" t="s">
        <v>1177</v>
      </c>
      <c r="H337" s="102">
        <v>45937</v>
      </c>
      <c r="I337" s="94">
        <v>76590000</v>
      </c>
      <c r="J337" s="94">
        <v>69000000</v>
      </c>
      <c r="K337" s="100">
        <f t="shared" si="62"/>
        <v>7590000</v>
      </c>
      <c r="L337" s="144">
        <f t="shared" si="63"/>
        <v>76590000</v>
      </c>
      <c r="M337" s="99"/>
      <c r="N337" s="100"/>
      <c r="O337" s="103">
        <f t="shared" si="64"/>
        <v>76590000</v>
      </c>
      <c r="P337" s="92"/>
      <c r="Q337" s="40"/>
      <c r="R337" s="40"/>
    </row>
    <row r="338" spans="1:18" s="17" customFormat="1" x14ac:dyDescent="0.35">
      <c r="A338" s="99">
        <v>11</v>
      </c>
      <c r="B338" s="101" t="s">
        <v>1180</v>
      </c>
      <c r="C338" s="208" t="s">
        <v>1264</v>
      </c>
      <c r="D338" s="102">
        <v>45968</v>
      </c>
      <c r="E338" s="102">
        <v>45974</v>
      </c>
      <c r="F338" s="91" t="s">
        <v>1182</v>
      </c>
      <c r="G338" s="92" t="s">
        <v>1184</v>
      </c>
      <c r="H338" s="102">
        <v>45859</v>
      </c>
      <c r="I338" s="94">
        <v>3106890000</v>
      </c>
      <c r="J338" s="95">
        <v>279900000</v>
      </c>
      <c r="K338" s="100">
        <f t="shared" si="62"/>
        <v>30789000</v>
      </c>
      <c r="L338" s="144">
        <f t="shared" si="63"/>
        <v>310689000</v>
      </c>
      <c r="M338" s="99"/>
      <c r="N338" s="100"/>
      <c r="O338" s="103">
        <f t="shared" si="64"/>
        <v>310689000</v>
      </c>
      <c r="P338" s="92"/>
      <c r="Q338" s="40"/>
      <c r="R338" s="40"/>
    </row>
    <row r="339" spans="1:18" s="17" customFormat="1" x14ac:dyDescent="0.35">
      <c r="A339" s="99">
        <v>12</v>
      </c>
      <c r="B339" s="101" t="s">
        <v>1180</v>
      </c>
      <c r="C339" s="208" t="s">
        <v>1265</v>
      </c>
      <c r="D339" s="102">
        <v>45968</v>
      </c>
      <c r="E339" s="102">
        <v>45974</v>
      </c>
      <c r="F339" s="91" t="s">
        <v>1183</v>
      </c>
      <c r="G339" s="92" t="s">
        <v>1184</v>
      </c>
      <c r="H339" s="102">
        <v>45859</v>
      </c>
      <c r="I339" s="94">
        <v>3106890000</v>
      </c>
      <c r="J339" s="95">
        <v>699750000</v>
      </c>
      <c r="K339" s="100">
        <f t="shared" si="62"/>
        <v>76972500</v>
      </c>
      <c r="L339" s="144">
        <f t="shared" si="63"/>
        <v>776722500</v>
      </c>
      <c r="M339" s="208"/>
      <c r="N339" s="207"/>
      <c r="O339" s="103">
        <f t="shared" si="64"/>
        <v>776722500</v>
      </c>
      <c r="P339" s="97"/>
      <c r="Q339" s="40"/>
      <c r="R339" s="40"/>
    </row>
    <row r="340" spans="1:18" s="17" customFormat="1" ht="24" x14ac:dyDescent="0.35">
      <c r="A340" s="99">
        <v>13</v>
      </c>
      <c r="B340" s="101" t="s">
        <v>1178</v>
      </c>
      <c r="C340" s="208" t="s">
        <v>1266</v>
      </c>
      <c r="D340" s="102">
        <v>45968</v>
      </c>
      <c r="E340" s="90">
        <v>45968</v>
      </c>
      <c r="F340" s="91" t="s">
        <v>1179</v>
      </c>
      <c r="G340" s="92" t="s">
        <v>881</v>
      </c>
      <c r="H340" s="102">
        <v>45838</v>
      </c>
      <c r="I340" s="94">
        <v>47952000</v>
      </c>
      <c r="J340" s="95">
        <v>10800000</v>
      </c>
      <c r="K340" s="100">
        <f t="shared" si="62"/>
        <v>1188000</v>
      </c>
      <c r="L340" s="144">
        <f t="shared" si="63"/>
        <v>11988000</v>
      </c>
      <c r="M340" s="208"/>
      <c r="N340" s="207"/>
      <c r="O340" s="103">
        <f t="shared" si="64"/>
        <v>11988000</v>
      </c>
      <c r="P340" s="97"/>
      <c r="Q340" s="40"/>
      <c r="R340" s="40"/>
    </row>
    <row r="341" spans="1:18" s="17" customFormat="1" x14ac:dyDescent="0.35">
      <c r="A341" s="99">
        <v>14</v>
      </c>
      <c r="B341" s="101" t="s">
        <v>1076</v>
      </c>
      <c r="C341" s="208" t="s">
        <v>1267</v>
      </c>
      <c r="D341" s="102">
        <v>45968</v>
      </c>
      <c r="E341" s="90">
        <v>45972</v>
      </c>
      <c r="F341" s="91" t="s">
        <v>1181</v>
      </c>
      <c r="G341" s="92" t="s">
        <v>1078</v>
      </c>
      <c r="H341" s="102">
        <v>45933</v>
      </c>
      <c r="I341" s="94">
        <v>230000000</v>
      </c>
      <c r="J341" s="94">
        <v>103603604</v>
      </c>
      <c r="K341" s="100">
        <f t="shared" si="62"/>
        <v>11396396.439999999</v>
      </c>
      <c r="L341" s="144">
        <f t="shared" si="63"/>
        <v>115000000.44</v>
      </c>
      <c r="M341" s="208"/>
      <c r="N341" s="207"/>
      <c r="O341" s="103">
        <f t="shared" si="64"/>
        <v>115000000.44</v>
      </c>
      <c r="P341" s="97"/>
      <c r="Q341" s="40"/>
      <c r="R341" s="40"/>
    </row>
    <row r="342" spans="1:18" s="17" customFormat="1" ht="26.5" customHeight="1" x14ac:dyDescent="0.35">
      <c r="A342" s="99">
        <v>15</v>
      </c>
      <c r="B342" s="101" t="s">
        <v>1185</v>
      </c>
      <c r="C342" s="210" t="s">
        <v>1268</v>
      </c>
      <c r="D342" s="102">
        <v>46002</v>
      </c>
      <c r="E342" s="90">
        <v>45973</v>
      </c>
      <c r="F342" s="104" t="s">
        <v>1186</v>
      </c>
      <c r="G342" s="97">
        <v>4500086437</v>
      </c>
      <c r="H342" s="90">
        <v>45655</v>
      </c>
      <c r="I342" s="95">
        <v>2417193720</v>
      </c>
      <c r="J342" s="95">
        <v>1306591200</v>
      </c>
      <c r="K342" s="100">
        <f t="shared" si="62"/>
        <v>143725032</v>
      </c>
      <c r="L342" s="144">
        <f t="shared" si="63"/>
        <v>1450316232</v>
      </c>
      <c r="M342" s="210"/>
      <c r="N342" s="209"/>
      <c r="O342" s="103">
        <f t="shared" si="64"/>
        <v>1450316232</v>
      </c>
      <c r="P342" s="97"/>
      <c r="Q342" s="40"/>
      <c r="R342" s="40"/>
    </row>
    <row r="343" spans="1:18" s="169" customFormat="1" ht="72" x14ac:dyDescent="0.35">
      <c r="A343" s="160">
        <v>16</v>
      </c>
      <c r="B343" s="161" t="s">
        <v>807</v>
      </c>
      <c r="C343" s="240" t="s">
        <v>1269</v>
      </c>
      <c r="D343" s="162">
        <v>45971</v>
      </c>
      <c r="E343" s="175">
        <v>45973</v>
      </c>
      <c r="F343" s="185" t="s">
        <v>1187</v>
      </c>
      <c r="G343" s="183" t="s">
        <v>1188</v>
      </c>
      <c r="H343" s="175">
        <v>45933</v>
      </c>
      <c r="I343" s="176">
        <v>259117013</v>
      </c>
      <c r="J343" s="176">
        <v>233438750</v>
      </c>
      <c r="K343" s="168">
        <f t="shared" si="62"/>
        <v>25678262.5</v>
      </c>
      <c r="L343" s="172">
        <f t="shared" si="63"/>
        <v>259117012.5</v>
      </c>
      <c r="M343" s="240" t="s">
        <v>1206</v>
      </c>
      <c r="N343" s="241">
        <v>259117013</v>
      </c>
      <c r="O343" s="167">
        <f>L343-N343</f>
        <v>-0.5</v>
      </c>
      <c r="P343" s="183"/>
      <c r="Q343" s="196"/>
      <c r="R343" s="196"/>
    </row>
    <row r="344" spans="1:18" s="17" customFormat="1" x14ac:dyDescent="0.35">
      <c r="A344" s="99">
        <v>17</v>
      </c>
      <c r="B344" s="101" t="s">
        <v>1198</v>
      </c>
      <c r="C344" s="210" t="s">
        <v>1270</v>
      </c>
      <c r="D344" s="102">
        <v>45972</v>
      </c>
      <c r="E344" s="90">
        <v>45973</v>
      </c>
      <c r="F344" s="91" t="s">
        <v>1189</v>
      </c>
      <c r="G344" s="97" t="s">
        <v>155</v>
      </c>
      <c r="H344" s="102">
        <v>45638</v>
      </c>
      <c r="I344" s="94">
        <v>97680000</v>
      </c>
      <c r="J344" s="94">
        <v>22000000</v>
      </c>
      <c r="K344" s="100">
        <f t="shared" si="62"/>
        <v>2420000</v>
      </c>
      <c r="L344" s="144">
        <f t="shared" si="63"/>
        <v>24420000</v>
      </c>
      <c r="M344" s="210"/>
      <c r="N344" s="209"/>
      <c r="O344" s="103">
        <f t="shared" si="64"/>
        <v>24420000</v>
      </c>
      <c r="P344" s="97"/>
      <c r="Q344" s="40"/>
      <c r="R344" s="40"/>
    </row>
    <row r="345" spans="1:18" s="17" customFormat="1" ht="24" x14ac:dyDescent="0.35">
      <c r="A345" s="99">
        <v>18</v>
      </c>
      <c r="B345" s="101" t="s">
        <v>738</v>
      </c>
      <c r="C345" s="210" t="s">
        <v>1271</v>
      </c>
      <c r="D345" s="102">
        <v>45972</v>
      </c>
      <c r="E345" s="90">
        <v>45973</v>
      </c>
      <c r="F345" s="91" t="s">
        <v>1190</v>
      </c>
      <c r="G345" s="92" t="s">
        <v>957</v>
      </c>
      <c r="H345" s="102">
        <v>45748</v>
      </c>
      <c r="I345" s="94">
        <v>64380000</v>
      </c>
      <c r="J345" s="94">
        <v>19333333</v>
      </c>
      <c r="K345" s="100">
        <f t="shared" si="62"/>
        <v>2126666.63</v>
      </c>
      <c r="L345" s="144">
        <f t="shared" si="63"/>
        <v>21459999.629999999</v>
      </c>
      <c r="M345" s="210" t="s">
        <v>1289</v>
      </c>
      <c r="N345" s="209">
        <v>21460000</v>
      </c>
      <c r="O345" s="103">
        <f t="shared" si="64"/>
        <v>-0.37000000104308128</v>
      </c>
      <c r="P345" s="97"/>
      <c r="Q345" s="40"/>
      <c r="R345" s="40"/>
    </row>
    <row r="346" spans="1:18" s="17" customFormat="1" x14ac:dyDescent="0.35">
      <c r="A346" s="99">
        <v>19</v>
      </c>
      <c r="B346" s="101" t="s">
        <v>347</v>
      </c>
      <c r="C346" s="210" t="s">
        <v>1272</v>
      </c>
      <c r="D346" s="102">
        <v>45973</v>
      </c>
      <c r="E346" s="90">
        <v>45975</v>
      </c>
      <c r="F346" s="101" t="s">
        <v>1191</v>
      </c>
      <c r="G346" s="92" t="s">
        <v>336</v>
      </c>
      <c r="H346" s="102">
        <v>45730</v>
      </c>
      <c r="I346" s="206">
        <v>520590000</v>
      </c>
      <c r="J346" s="95">
        <v>328300000</v>
      </c>
      <c r="K346" s="100">
        <f t="shared" si="62"/>
        <v>36113000</v>
      </c>
      <c r="L346" s="144">
        <f t="shared" si="63"/>
        <v>364413000</v>
      </c>
      <c r="M346" s="210"/>
      <c r="N346" s="209"/>
      <c r="O346" s="103">
        <f t="shared" si="64"/>
        <v>364413000</v>
      </c>
      <c r="P346" s="97"/>
      <c r="Q346" s="40"/>
      <c r="R346" s="40"/>
    </row>
    <row r="347" spans="1:18" s="17" customFormat="1" x14ac:dyDescent="0.35">
      <c r="A347" s="99">
        <v>20</v>
      </c>
      <c r="B347" s="101" t="s">
        <v>347</v>
      </c>
      <c r="C347" s="210" t="s">
        <v>1273</v>
      </c>
      <c r="D347" s="102">
        <v>45973</v>
      </c>
      <c r="E347" s="90">
        <v>45975</v>
      </c>
      <c r="F347" s="91" t="s">
        <v>1192</v>
      </c>
      <c r="G347" s="92" t="s">
        <v>687</v>
      </c>
      <c r="H347" s="93">
        <v>45834</v>
      </c>
      <c r="I347" s="94">
        <v>17826600</v>
      </c>
      <c r="J347" s="95">
        <v>11242000</v>
      </c>
      <c r="K347" s="100">
        <f t="shared" si="62"/>
        <v>1236620</v>
      </c>
      <c r="L347" s="144">
        <f t="shared" si="63"/>
        <v>12478620</v>
      </c>
      <c r="M347" s="210"/>
      <c r="N347" s="209"/>
      <c r="O347" s="103">
        <f t="shared" si="64"/>
        <v>12478620</v>
      </c>
      <c r="P347" s="97"/>
      <c r="Q347" s="40"/>
      <c r="R347" s="40"/>
    </row>
    <row r="348" spans="1:18" s="17" customFormat="1" x14ac:dyDescent="0.35">
      <c r="A348" s="99">
        <v>21</v>
      </c>
      <c r="B348" s="101" t="s">
        <v>762</v>
      </c>
      <c r="C348" s="210" t="s">
        <v>1274</v>
      </c>
      <c r="D348" s="102">
        <v>45973</v>
      </c>
      <c r="E348" s="90">
        <v>45975</v>
      </c>
      <c r="F348" s="91" t="s">
        <v>1194</v>
      </c>
      <c r="G348" s="92" t="s">
        <v>1193</v>
      </c>
      <c r="H348" s="102">
        <v>45624</v>
      </c>
      <c r="I348" s="94">
        <v>779220000</v>
      </c>
      <c r="J348" s="95">
        <v>491400000</v>
      </c>
      <c r="K348" s="100">
        <f t="shared" si="62"/>
        <v>54054000</v>
      </c>
      <c r="L348" s="144">
        <f t="shared" si="63"/>
        <v>545454000</v>
      </c>
      <c r="M348" s="210"/>
      <c r="N348" s="209"/>
      <c r="O348" s="103">
        <f t="shared" si="64"/>
        <v>545454000</v>
      </c>
      <c r="P348" s="97"/>
      <c r="Q348" s="40"/>
      <c r="R348" s="40"/>
    </row>
    <row r="349" spans="1:18" s="17" customFormat="1" x14ac:dyDescent="0.35">
      <c r="A349" s="99">
        <v>22</v>
      </c>
      <c r="B349" s="101" t="s">
        <v>762</v>
      </c>
      <c r="C349" s="210" t="s">
        <v>1275</v>
      </c>
      <c r="D349" s="102">
        <v>45973</v>
      </c>
      <c r="E349" s="90">
        <v>45975</v>
      </c>
      <c r="F349" s="104" t="s">
        <v>1195</v>
      </c>
      <c r="G349" s="104" t="s">
        <v>764</v>
      </c>
      <c r="H349" s="102">
        <v>45841</v>
      </c>
      <c r="I349" s="95">
        <v>248728800</v>
      </c>
      <c r="J349" s="95">
        <v>156856000</v>
      </c>
      <c r="K349" s="100">
        <f t="shared" si="62"/>
        <v>17254160</v>
      </c>
      <c r="L349" s="144">
        <f t="shared" si="63"/>
        <v>174110160</v>
      </c>
      <c r="M349" s="210"/>
      <c r="N349" s="209"/>
      <c r="O349" s="103">
        <f t="shared" si="64"/>
        <v>174110160</v>
      </c>
      <c r="P349" s="97"/>
      <c r="Q349" s="40"/>
      <c r="R349" s="40"/>
    </row>
    <row r="350" spans="1:18" s="17" customFormat="1" ht="60" x14ac:dyDescent="0.35">
      <c r="A350" s="99">
        <v>23</v>
      </c>
      <c r="B350" s="101" t="s">
        <v>762</v>
      </c>
      <c r="C350" s="210" t="s">
        <v>1276</v>
      </c>
      <c r="D350" s="102">
        <v>45973</v>
      </c>
      <c r="E350" s="90">
        <v>45975</v>
      </c>
      <c r="F350" s="91" t="s">
        <v>1196</v>
      </c>
      <c r="G350" s="92" t="s">
        <v>1007</v>
      </c>
      <c r="H350" s="93">
        <v>45910</v>
      </c>
      <c r="I350" s="94">
        <v>41514000</v>
      </c>
      <c r="J350" s="95">
        <v>26180000</v>
      </c>
      <c r="K350" s="100">
        <f>J350*11%</f>
        <v>2879800</v>
      </c>
      <c r="L350" s="144">
        <f t="shared" si="63"/>
        <v>29059800</v>
      </c>
      <c r="M350" s="210"/>
      <c r="N350" s="209"/>
      <c r="O350" s="103">
        <f t="shared" si="64"/>
        <v>29059800</v>
      </c>
      <c r="P350" s="97"/>
      <c r="Q350" s="40"/>
      <c r="R350" s="40"/>
    </row>
    <row r="351" spans="1:18" s="17" customFormat="1" x14ac:dyDescent="0.35">
      <c r="A351" s="99">
        <v>24</v>
      </c>
      <c r="B351" s="88" t="s">
        <v>369</v>
      </c>
      <c r="C351" s="210" t="s">
        <v>1277</v>
      </c>
      <c r="D351" s="102">
        <v>45973</v>
      </c>
      <c r="E351" s="90">
        <v>45975</v>
      </c>
      <c r="F351" s="91" t="s">
        <v>1197</v>
      </c>
      <c r="G351" s="92">
        <v>6000029510</v>
      </c>
      <c r="H351" s="102">
        <v>45699</v>
      </c>
      <c r="I351" s="206">
        <v>1054500000</v>
      </c>
      <c r="J351" s="94">
        <v>285000000</v>
      </c>
      <c r="K351" s="100">
        <f t="shared" si="62"/>
        <v>31350000</v>
      </c>
      <c r="L351" s="144">
        <f t="shared" si="63"/>
        <v>316350000</v>
      </c>
      <c r="M351" s="210"/>
      <c r="N351" s="209"/>
      <c r="O351" s="103">
        <f t="shared" si="64"/>
        <v>316350000</v>
      </c>
      <c r="P351" s="97"/>
      <c r="Q351" s="40"/>
      <c r="R351" s="40"/>
    </row>
    <row r="352" spans="1:18" s="17" customFormat="1" ht="24" x14ac:dyDescent="0.35">
      <c r="A352" s="99">
        <v>25</v>
      </c>
      <c r="B352" s="88" t="s">
        <v>1198</v>
      </c>
      <c r="C352" s="213" t="s">
        <v>1278</v>
      </c>
      <c r="D352" s="102">
        <v>45978</v>
      </c>
      <c r="E352" s="90">
        <v>45978</v>
      </c>
      <c r="F352" s="91" t="s">
        <v>1199</v>
      </c>
      <c r="G352" s="92" t="s">
        <v>1209</v>
      </c>
      <c r="H352" s="102">
        <v>45974</v>
      </c>
      <c r="I352" s="94">
        <v>4195800</v>
      </c>
      <c r="J352" s="94">
        <v>3780000</v>
      </c>
      <c r="K352" s="100">
        <f t="shared" si="62"/>
        <v>415800</v>
      </c>
      <c r="L352" s="144">
        <f t="shared" si="63"/>
        <v>4195800</v>
      </c>
      <c r="M352" s="213"/>
      <c r="N352" s="212"/>
      <c r="O352" s="103">
        <f t="shared" si="64"/>
        <v>4195800</v>
      </c>
      <c r="P352" s="97" t="s">
        <v>1200</v>
      </c>
      <c r="Q352" s="40"/>
      <c r="R352" s="40"/>
    </row>
    <row r="353" spans="1:18" s="17" customFormat="1" x14ac:dyDescent="0.35">
      <c r="A353" s="99">
        <v>26</v>
      </c>
      <c r="B353" s="101" t="s">
        <v>1198</v>
      </c>
      <c r="C353" s="213" t="s">
        <v>1279</v>
      </c>
      <c r="D353" s="90">
        <v>45978</v>
      </c>
      <c r="E353" s="90">
        <v>45979</v>
      </c>
      <c r="F353" s="104" t="s">
        <v>1207</v>
      </c>
      <c r="G353" s="97" t="s">
        <v>1208</v>
      </c>
      <c r="H353" s="90">
        <v>45828</v>
      </c>
      <c r="I353" s="95">
        <v>9990000</v>
      </c>
      <c r="J353" s="95">
        <v>9000000</v>
      </c>
      <c r="K353" s="100">
        <f t="shared" si="62"/>
        <v>990000</v>
      </c>
      <c r="L353" s="144">
        <f t="shared" si="63"/>
        <v>9990000</v>
      </c>
      <c r="M353" s="213"/>
      <c r="N353" s="212"/>
      <c r="O353" s="103">
        <f t="shared" si="64"/>
        <v>9990000</v>
      </c>
      <c r="P353" s="97" t="s">
        <v>1210</v>
      </c>
      <c r="Q353" s="40"/>
      <c r="R353" s="40"/>
    </row>
    <row r="354" spans="1:18" s="169" customFormat="1" x14ac:dyDescent="0.35">
      <c r="A354" s="160">
        <v>27</v>
      </c>
      <c r="B354" s="161" t="s">
        <v>396</v>
      </c>
      <c r="C354" s="240" t="s">
        <v>1280</v>
      </c>
      <c r="D354" s="175">
        <v>45975</v>
      </c>
      <c r="E354" s="175">
        <v>45979</v>
      </c>
      <c r="F354" s="171" t="s">
        <v>1223</v>
      </c>
      <c r="G354" s="165" t="s">
        <v>231</v>
      </c>
      <c r="H354" s="163">
        <v>45586</v>
      </c>
      <c r="I354" s="166">
        <v>1232100000</v>
      </c>
      <c r="J354" s="176">
        <v>90090090</v>
      </c>
      <c r="K354" s="168">
        <f t="shared" si="62"/>
        <v>9909909.9000000004</v>
      </c>
      <c r="L354" s="172">
        <f t="shared" si="63"/>
        <v>99999999.900000006</v>
      </c>
      <c r="M354" s="240" t="s">
        <v>1224</v>
      </c>
      <c r="N354" s="241">
        <v>99997100</v>
      </c>
      <c r="O354" s="167">
        <f t="shared" si="64"/>
        <v>2899.9000000059605</v>
      </c>
      <c r="P354" s="183" t="s">
        <v>1225</v>
      </c>
      <c r="Q354" s="196"/>
      <c r="R354" s="196"/>
    </row>
    <row r="355" spans="1:18" s="169" customFormat="1" ht="24" x14ac:dyDescent="0.35">
      <c r="A355" s="160">
        <v>28</v>
      </c>
      <c r="B355" s="161" t="s">
        <v>150</v>
      </c>
      <c r="C355" s="108" t="s">
        <v>1281</v>
      </c>
      <c r="D355" s="175">
        <v>45979</v>
      </c>
      <c r="E355" s="175">
        <v>45980</v>
      </c>
      <c r="F355" s="164" t="s">
        <v>1227</v>
      </c>
      <c r="G355" s="183" t="s">
        <v>152</v>
      </c>
      <c r="H355" s="162">
        <v>45589</v>
      </c>
      <c r="I355" s="176">
        <v>21933600</v>
      </c>
      <c r="J355" s="166">
        <v>3293333</v>
      </c>
      <c r="K355" s="168">
        <f t="shared" si="62"/>
        <v>362266.63</v>
      </c>
      <c r="L355" s="172">
        <f t="shared" si="63"/>
        <v>3655599.63</v>
      </c>
      <c r="M355" s="240" t="s">
        <v>1444</v>
      </c>
      <c r="N355" s="241">
        <v>3589733</v>
      </c>
      <c r="O355" s="167">
        <f t="shared" si="64"/>
        <v>65866.629999999888</v>
      </c>
      <c r="P355" s="183" t="s">
        <v>1125</v>
      </c>
      <c r="Q355" s="196"/>
      <c r="R355" s="196"/>
    </row>
    <row r="356" spans="1:18" s="17" customFormat="1" ht="24" x14ac:dyDescent="0.35">
      <c r="A356" s="99">
        <v>29</v>
      </c>
      <c r="B356" s="101" t="s">
        <v>1226</v>
      </c>
      <c r="C356" s="216" t="s">
        <v>1282</v>
      </c>
      <c r="D356" s="90">
        <v>45979</v>
      </c>
      <c r="E356" s="90">
        <v>45980</v>
      </c>
      <c r="F356" s="104" t="s">
        <v>1228</v>
      </c>
      <c r="G356" s="97" t="s">
        <v>1229</v>
      </c>
      <c r="H356" s="90">
        <v>45965</v>
      </c>
      <c r="I356" s="95">
        <v>4645350</v>
      </c>
      <c r="J356" s="95">
        <v>4185000</v>
      </c>
      <c r="K356" s="100">
        <f t="shared" si="62"/>
        <v>460350</v>
      </c>
      <c r="L356" s="144">
        <f t="shared" si="63"/>
        <v>4645350</v>
      </c>
      <c r="M356" s="216"/>
      <c r="N356" s="212"/>
      <c r="O356" s="103">
        <f t="shared" si="64"/>
        <v>4645350</v>
      </c>
      <c r="P356" s="97"/>
      <c r="Q356" s="40"/>
      <c r="R356" s="40"/>
    </row>
    <row r="357" spans="1:18" s="169" customFormat="1" x14ac:dyDescent="0.35">
      <c r="A357" s="160">
        <v>30</v>
      </c>
      <c r="B357" s="173" t="s">
        <v>1231</v>
      </c>
      <c r="C357" s="240" t="s">
        <v>1283</v>
      </c>
      <c r="D357" s="175">
        <v>45980</v>
      </c>
      <c r="E357" s="175">
        <v>45982</v>
      </c>
      <c r="F357" s="185" t="s">
        <v>1232</v>
      </c>
      <c r="G357" s="183" t="s">
        <v>1235</v>
      </c>
      <c r="H357" s="175">
        <v>45979</v>
      </c>
      <c r="I357" s="176">
        <v>277500000</v>
      </c>
      <c r="J357" s="176">
        <v>125000000</v>
      </c>
      <c r="K357" s="168">
        <f t="shared" si="62"/>
        <v>13750000</v>
      </c>
      <c r="L357" s="172">
        <f t="shared" si="63"/>
        <v>138750000</v>
      </c>
      <c r="M357" s="252" t="s">
        <v>1240</v>
      </c>
      <c r="N357" s="254">
        <v>152625000</v>
      </c>
      <c r="O357" s="249">
        <f>L357+L358-N357</f>
        <v>0</v>
      </c>
      <c r="P357" s="183"/>
      <c r="Q357" s="196"/>
      <c r="R357" s="196"/>
    </row>
    <row r="358" spans="1:18" s="169" customFormat="1" ht="24" x14ac:dyDescent="0.35">
      <c r="A358" s="160">
        <v>31</v>
      </c>
      <c r="B358" s="173" t="s">
        <v>1231</v>
      </c>
      <c r="C358" s="240" t="s">
        <v>1284</v>
      </c>
      <c r="D358" s="175">
        <v>45980</v>
      </c>
      <c r="E358" s="175">
        <v>45982</v>
      </c>
      <c r="F358" s="185" t="s">
        <v>1233</v>
      </c>
      <c r="G358" s="183" t="s">
        <v>1234</v>
      </c>
      <c r="H358" s="175">
        <v>45980</v>
      </c>
      <c r="I358" s="176">
        <v>27750000</v>
      </c>
      <c r="J358" s="176">
        <v>12500000</v>
      </c>
      <c r="K358" s="168">
        <f t="shared" si="62"/>
        <v>1375000</v>
      </c>
      <c r="L358" s="172">
        <f t="shared" si="63"/>
        <v>13875000</v>
      </c>
      <c r="M358" s="253"/>
      <c r="N358" s="255"/>
      <c r="O358" s="251"/>
      <c r="P358" s="183"/>
      <c r="Q358" s="196"/>
      <c r="R358" s="196"/>
    </row>
    <row r="359" spans="1:18" s="17" customFormat="1" ht="15" customHeight="1" x14ac:dyDescent="0.35">
      <c r="A359" s="99">
        <v>32</v>
      </c>
      <c r="B359" s="88" t="s">
        <v>1246</v>
      </c>
      <c r="C359" s="219" t="s">
        <v>1285</v>
      </c>
      <c r="D359" s="90">
        <v>45973</v>
      </c>
      <c r="E359" s="90">
        <v>45980</v>
      </c>
      <c r="F359" s="104" t="s">
        <v>1236</v>
      </c>
      <c r="G359" s="97">
        <v>4110005678</v>
      </c>
      <c r="H359" s="90">
        <v>45838</v>
      </c>
      <c r="I359" s="95">
        <v>809190000</v>
      </c>
      <c r="J359" s="95">
        <v>161550000</v>
      </c>
      <c r="K359" s="100">
        <f t="shared" si="62"/>
        <v>17770500</v>
      </c>
      <c r="L359" s="144">
        <f t="shared" si="63"/>
        <v>179320500</v>
      </c>
      <c r="M359" s="99"/>
      <c r="N359" s="94"/>
      <c r="O359" s="103">
        <f t="shared" si="64"/>
        <v>179320500</v>
      </c>
      <c r="P359" s="97"/>
      <c r="Q359" s="40"/>
      <c r="R359" s="40"/>
    </row>
    <row r="360" spans="1:18" s="17" customFormat="1" ht="36" x14ac:dyDescent="0.35">
      <c r="A360" s="99">
        <v>33</v>
      </c>
      <c r="B360" s="88" t="s">
        <v>1237</v>
      </c>
      <c r="C360" s="99" t="s">
        <v>1286</v>
      </c>
      <c r="D360" s="90">
        <v>45981</v>
      </c>
      <c r="E360" s="90">
        <v>45981</v>
      </c>
      <c r="F360" s="104" t="s">
        <v>1238</v>
      </c>
      <c r="G360" s="97" t="s">
        <v>1239</v>
      </c>
      <c r="H360" s="90">
        <v>45959</v>
      </c>
      <c r="I360" s="95">
        <v>15184800</v>
      </c>
      <c r="J360" s="95">
        <v>13680000</v>
      </c>
      <c r="K360" s="100">
        <f t="shared" si="62"/>
        <v>1504800</v>
      </c>
      <c r="L360" s="144">
        <f t="shared" si="63"/>
        <v>15184800</v>
      </c>
      <c r="M360" s="99"/>
      <c r="N360" s="94"/>
      <c r="O360" s="103">
        <f t="shared" si="64"/>
        <v>15184800</v>
      </c>
      <c r="P360" s="97"/>
      <c r="Q360" s="40"/>
      <c r="R360" s="40"/>
    </row>
    <row r="361" spans="1:18" s="17" customFormat="1" x14ac:dyDescent="0.35">
      <c r="A361" s="99">
        <v>34</v>
      </c>
      <c r="B361" s="101" t="s">
        <v>1244</v>
      </c>
      <c r="C361" s="222" t="s">
        <v>1287</v>
      </c>
      <c r="D361" s="102">
        <v>45981</v>
      </c>
      <c r="E361" s="93">
        <v>45982</v>
      </c>
      <c r="F361" s="101" t="s">
        <v>1245</v>
      </c>
      <c r="G361" s="92">
        <v>4110006224</v>
      </c>
      <c r="H361" s="102">
        <v>45952</v>
      </c>
      <c r="I361" s="94">
        <v>391591716</v>
      </c>
      <c r="J361" s="95">
        <v>352785330</v>
      </c>
      <c r="K361" s="100">
        <f t="shared" si="62"/>
        <v>38806386.299999997</v>
      </c>
      <c r="L361" s="144">
        <f t="shared" si="63"/>
        <v>391591716.30000001</v>
      </c>
      <c r="M361" s="222"/>
      <c r="N361" s="221"/>
      <c r="O361" s="103">
        <f t="shared" si="64"/>
        <v>391591716.30000001</v>
      </c>
      <c r="P361" s="97"/>
      <c r="Q361" s="40"/>
      <c r="R361" s="40"/>
    </row>
    <row r="362" spans="1:18" s="17" customFormat="1" ht="15" customHeight="1" x14ac:dyDescent="0.35">
      <c r="A362" s="99">
        <v>35</v>
      </c>
      <c r="B362" s="88" t="s">
        <v>1246</v>
      </c>
      <c r="C362" s="224" t="s">
        <v>1288</v>
      </c>
      <c r="D362" s="90">
        <v>45985</v>
      </c>
      <c r="E362" s="90">
        <v>45985</v>
      </c>
      <c r="F362" s="104" t="s">
        <v>1247</v>
      </c>
      <c r="G362" s="97">
        <v>4110005678</v>
      </c>
      <c r="H362" s="90">
        <v>45838</v>
      </c>
      <c r="I362" s="95">
        <v>809190000</v>
      </c>
      <c r="J362" s="94">
        <v>167400000</v>
      </c>
      <c r="K362" s="100">
        <f t="shared" si="62"/>
        <v>18414000</v>
      </c>
      <c r="L362" s="144">
        <f t="shared" si="63"/>
        <v>185814000</v>
      </c>
      <c r="M362" s="224"/>
      <c r="N362" s="223"/>
      <c r="O362" s="103">
        <f t="shared" si="64"/>
        <v>185814000</v>
      </c>
      <c r="P362" s="97"/>
      <c r="Q362" s="40"/>
      <c r="R362" s="40"/>
    </row>
    <row r="363" spans="1:18" s="17" customFormat="1" x14ac:dyDescent="0.35">
      <c r="A363" s="99">
        <v>36</v>
      </c>
      <c r="B363" s="97" t="s">
        <v>44</v>
      </c>
      <c r="C363" s="226" t="s">
        <v>1249</v>
      </c>
      <c r="D363" s="90">
        <v>45986</v>
      </c>
      <c r="E363" s="90">
        <v>45987</v>
      </c>
      <c r="F363" s="91" t="s">
        <v>1415</v>
      </c>
      <c r="G363" s="92" t="s">
        <v>236</v>
      </c>
      <c r="H363" s="102">
        <v>45664</v>
      </c>
      <c r="I363" s="94">
        <v>809190000</v>
      </c>
      <c r="J363" s="94">
        <v>60750000</v>
      </c>
      <c r="K363" s="100">
        <f t="shared" si="62"/>
        <v>6682500</v>
      </c>
      <c r="L363" s="144">
        <f t="shared" si="63"/>
        <v>67432500</v>
      </c>
      <c r="M363" s="226"/>
      <c r="N363" s="225"/>
      <c r="O363" s="103">
        <f t="shared" si="64"/>
        <v>67432500</v>
      </c>
      <c r="P363" s="97"/>
      <c r="Q363" s="40"/>
      <c r="R363" s="40"/>
    </row>
    <row r="364" spans="1:18" s="17" customFormat="1" x14ac:dyDescent="0.35">
      <c r="A364" s="99">
        <v>37</v>
      </c>
      <c r="B364" s="97" t="s">
        <v>1251</v>
      </c>
      <c r="C364" s="228" t="s">
        <v>1252</v>
      </c>
      <c r="D364" s="90">
        <v>45987</v>
      </c>
      <c r="E364" s="90">
        <v>45988</v>
      </c>
      <c r="F364" s="91" t="s">
        <v>1254</v>
      </c>
      <c r="G364" s="92" t="s">
        <v>1253</v>
      </c>
      <c r="H364" s="93">
        <v>44789</v>
      </c>
      <c r="I364" s="94">
        <v>4123428000</v>
      </c>
      <c r="J364" s="94">
        <v>185740000</v>
      </c>
      <c r="K364" s="100">
        <f t="shared" si="62"/>
        <v>20431400</v>
      </c>
      <c r="L364" s="144">
        <f t="shared" si="63"/>
        <v>206171400</v>
      </c>
      <c r="M364" s="228"/>
      <c r="N364" s="227"/>
      <c r="O364" s="103">
        <f t="shared" si="64"/>
        <v>206171400</v>
      </c>
      <c r="P364" s="97"/>
      <c r="Q364" s="40"/>
      <c r="R364" s="40"/>
    </row>
    <row r="365" spans="1:18" s="17" customFormat="1" x14ac:dyDescent="0.35">
      <c r="A365" s="99">
        <v>38</v>
      </c>
      <c r="B365" s="97" t="s">
        <v>396</v>
      </c>
      <c r="C365" s="230" t="s">
        <v>1290</v>
      </c>
      <c r="D365" s="90">
        <v>45989</v>
      </c>
      <c r="E365" s="90">
        <v>45995</v>
      </c>
      <c r="F365" s="105" t="s">
        <v>1291</v>
      </c>
      <c r="G365" s="92" t="s">
        <v>231</v>
      </c>
      <c r="H365" s="93">
        <v>45586</v>
      </c>
      <c r="I365" s="94">
        <v>1232100000</v>
      </c>
      <c r="J365" s="94">
        <v>90090090</v>
      </c>
      <c r="K365" s="100">
        <f t="shared" si="62"/>
        <v>9909909.9000000004</v>
      </c>
      <c r="L365" s="144">
        <f t="shared" si="63"/>
        <v>99999999.900000006</v>
      </c>
      <c r="M365" s="230" t="s">
        <v>1421</v>
      </c>
      <c r="N365" s="229">
        <v>100000000</v>
      </c>
      <c r="O365" s="103">
        <f t="shared" si="64"/>
        <v>-9.9999994039535522E-2</v>
      </c>
      <c r="P365" s="97"/>
      <c r="Q365" s="40"/>
      <c r="R365" s="40"/>
    </row>
    <row r="366" spans="1:18" s="17" customFormat="1" x14ac:dyDescent="0.35">
      <c r="A366" s="99">
        <v>39</v>
      </c>
      <c r="B366" s="97" t="s">
        <v>1313</v>
      </c>
      <c r="C366" s="230" t="s">
        <v>1314</v>
      </c>
      <c r="D366" s="90">
        <v>45989</v>
      </c>
      <c r="E366" s="90">
        <v>45995</v>
      </c>
      <c r="F366" s="105" t="s">
        <v>1315</v>
      </c>
      <c r="G366" s="92" t="s">
        <v>1316</v>
      </c>
      <c r="H366" s="93">
        <v>44844</v>
      </c>
      <c r="I366" s="94">
        <v>2974800000</v>
      </c>
      <c r="J366" s="94">
        <v>134000000</v>
      </c>
      <c r="K366" s="100">
        <f t="shared" si="62"/>
        <v>14740000</v>
      </c>
      <c r="L366" s="144">
        <f t="shared" si="63"/>
        <v>148740000</v>
      </c>
      <c r="M366" s="230"/>
      <c r="N366" s="229"/>
      <c r="O366" s="103">
        <f t="shared" si="64"/>
        <v>148740000</v>
      </c>
      <c r="P366" s="97"/>
      <c r="Q366" s="40"/>
      <c r="R366" s="40"/>
    </row>
    <row r="367" spans="1:18" s="17" customFormat="1" ht="30.75" customHeight="1" x14ac:dyDescent="0.35">
      <c r="A367" s="275" t="s">
        <v>42</v>
      </c>
      <c r="B367" s="275"/>
      <c r="C367" s="275"/>
      <c r="D367" s="275"/>
      <c r="E367" s="275"/>
      <c r="F367" s="275"/>
      <c r="G367" s="275"/>
      <c r="H367" s="275"/>
      <c r="I367" s="61">
        <f>SUM(I328:I366)</f>
        <v>31127669988</v>
      </c>
      <c r="J367" s="61">
        <f>SUM(J328:J366)</f>
        <v>8929625506</v>
      </c>
      <c r="K367" s="61">
        <f>SUM(K328:K366)</f>
        <v>982258805.65999985</v>
      </c>
      <c r="L367" s="61">
        <f>SUM(L328:L366)</f>
        <v>9911884311.6599979</v>
      </c>
      <c r="M367" s="46"/>
      <c r="N367" s="47">
        <f>SUM(N328:N366)</f>
        <v>636788846</v>
      </c>
      <c r="O367" s="61">
        <f>SUM(O328:O366)</f>
        <v>9275095465.6599979</v>
      </c>
      <c r="P367" s="149"/>
      <c r="Q367" s="40"/>
      <c r="R367" s="40"/>
    </row>
    <row r="368" spans="1:18" s="17" customFormat="1" ht="30.75" customHeight="1" x14ac:dyDescent="0.35">
      <c r="A368" s="70"/>
      <c r="B368" s="70"/>
      <c r="C368" s="70"/>
      <c r="D368" s="70"/>
      <c r="E368" s="70"/>
      <c r="F368" s="70"/>
      <c r="G368" s="70"/>
      <c r="H368" s="70"/>
      <c r="I368" s="62"/>
      <c r="J368" s="62"/>
      <c r="K368" s="62"/>
      <c r="L368" s="62"/>
      <c r="M368" s="73"/>
      <c r="N368" s="71"/>
      <c r="O368" s="62"/>
      <c r="P368" s="152"/>
      <c r="Q368" s="40"/>
      <c r="R368" s="40"/>
    </row>
    <row r="369" spans="1:22" s="17" customFormat="1" ht="15" customHeight="1" x14ac:dyDescent="0.3">
      <c r="A369" s="99">
        <v>1</v>
      </c>
      <c r="B369" s="101" t="s">
        <v>275</v>
      </c>
      <c r="C369" s="231" t="s">
        <v>1292</v>
      </c>
      <c r="D369" s="102">
        <v>45992</v>
      </c>
      <c r="E369" s="93">
        <v>45994</v>
      </c>
      <c r="F369" s="232" t="s">
        <v>1293</v>
      </c>
      <c r="G369" s="92" t="s">
        <v>278</v>
      </c>
      <c r="H369" s="102">
        <v>45701</v>
      </c>
      <c r="I369" s="94">
        <v>155400000</v>
      </c>
      <c r="J369" s="94">
        <v>24000000</v>
      </c>
      <c r="K369" s="94">
        <f>J369*11%</f>
        <v>2640000</v>
      </c>
      <c r="L369" s="94">
        <f>J369+K369</f>
        <v>26640000</v>
      </c>
      <c r="M369" s="99"/>
      <c r="N369" s="94"/>
      <c r="O369" s="94">
        <f>L369-N369</f>
        <v>26640000</v>
      </c>
      <c r="P369" s="92"/>
      <c r="Q369" s="40"/>
      <c r="R369" s="40"/>
    </row>
    <row r="370" spans="1:22" s="17" customFormat="1" ht="15" customHeight="1" x14ac:dyDescent="0.35">
      <c r="A370" s="99">
        <v>2</v>
      </c>
      <c r="B370" s="91" t="s">
        <v>44</v>
      </c>
      <c r="C370" s="99" t="s">
        <v>1294</v>
      </c>
      <c r="D370" s="102">
        <v>45992</v>
      </c>
      <c r="E370" s="93">
        <v>45994</v>
      </c>
      <c r="F370" s="101" t="s">
        <v>1295</v>
      </c>
      <c r="G370" s="92">
        <v>2112550897</v>
      </c>
      <c r="H370" s="102">
        <v>45975</v>
      </c>
      <c r="I370" s="94">
        <v>18431550</v>
      </c>
      <c r="J370" s="94">
        <v>16605000</v>
      </c>
      <c r="K370" s="94">
        <f t="shared" ref="K370:K415" si="65">J370*11%</f>
        <v>1826550</v>
      </c>
      <c r="L370" s="94">
        <f t="shared" ref="L370:L415" si="66">J370+K370</f>
        <v>18431550</v>
      </c>
      <c r="M370" s="99"/>
      <c r="N370" s="94"/>
      <c r="O370" s="94">
        <f t="shared" ref="O370:O395" si="67">L370-N370</f>
        <v>18431550</v>
      </c>
      <c r="P370" s="92"/>
      <c r="Q370" s="40"/>
      <c r="R370" s="40"/>
      <c r="S370" s="40"/>
      <c r="T370" s="40"/>
      <c r="U370" s="40"/>
      <c r="V370" s="40"/>
    </row>
    <row r="371" spans="1:22" s="17" customFormat="1" ht="15" customHeight="1" x14ac:dyDescent="0.35">
      <c r="A371" s="99">
        <v>3</v>
      </c>
      <c r="B371" s="91" t="s">
        <v>190</v>
      </c>
      <c r="C371" s="99" t="s">
        <v>1296</v>
      </c>
      <c r="D371" s="102">
        <v>45992</v>
      </c>
      <c r="E371" s="93">
        <v>45999</v>
      </c>
      <c r="F371" s="91" t="s">
        <v>1297</v>
      </c>
      <c r="G371" s="92" t="s">
        <v>1298</v>
      </c>
      <c r="H371" s="102">
        <v>45964</v>
      </c>
      <c r="I371" s="94">
        <v>88800000</v>
      </c>
      <c r="J371" s="94">
        <v>80000000</v>
      </c>
      <c r="K371" s="94">
        <f t="shared" si="65"/>
        <v>8800000</v>
      </c>
      <c r="L371" s="94">
        <f t="shared" si="66"/>
        <v>88800000</v>
      </c>
      <c r="M371" s="99" t="s">
        <v>1422</v>
      </c>
      <c r="N371" s="94">
        <v>88800000</v>
      </c>
      <c r="O371" s="94">
        <f t="shared" si="67"/>
        <v>0</v>
      </c>
      <c r="P371" s="92"/>
      <c r="Q371" s="40"/>
      <c r="R371" s="40"/>
      <c r="S371" s="40"/>
      <c r="T371" s="40"/>
      <c r="U371" s="40"/>
      <c r="V371" s="40"/>
    </row>
    <row r="372" spans="1:22" s="17" customFormat="1" ht="15" customHeight="1" x14ac:dyDescent="0.35">
      <c r="A372" s="99">
        <v>4</v>
      </c>
      <c r="B372" s="91" t="s">
        <v>1299</v>
      </c>
      <c r="C372" s="99" t="s">
        <v>1300</v>
      </c>
      <c r="D372" s="102">
        <v>45992</v>
      </c>
      <c r="E372" s="93">
        <v>45996</v>
      </c>
      <c r="F372" s="101" t="s">
        <v>1305</v>
      </c>
      <c r="G372" s="92" t="s">
        <v>1306</v>
      </c>
      <c r="H372" s="102">
        <v>45938</v>
      </c>
      <c r="I372" s="94">
        <v>278832000</v>
      </c>
      <c r="J372" s="94">
        <v>251200000</v>
      </c>
      <c r="K372" s="94">
        <f t="shared" si="65"/>
        <v>27632000</v>
      </c>
      <c r="L372" s="94">
        <f t="shared" si="66"/>
        <v>278832000</v>
      </c>
      <c r="M372" s="99" t="s">
        <v>1437</v>
      </c>
      <c r="N372" s="94">
        <v>251200000</v>
      </c>
      <c r="O372" s="94">
        <f t="shared" si="67"/>
        <v>27632000</v>
      </c>
      <c r="P372" s="92" t="s">
        <v>1427</v>
      </c>
      <c r="Q372" s="40"/>
      <c r="R372" s="40"/>
      <c r="S372" s="40"/>
      <c r="T372" s="40"/>
      <c r="U372" s="40"/>
      <c r="V372" s="40"/>
    </row>
    <row r="373" spans="1:22" s="17" customFormat="1" ht="15" customHeight="1" x14ac:dyDescent="0.35">
      <c r="A373" s="99">
        <v>5</v>
      </c>
      <c r="B373" s="91" t="s">
        <v>664</v>
      </c>
      <c r="C373" s="99" t="s">
        <v>1307</v>
      </c>
      <c r="D373" s="102">
        <v>45992</v>
      </c>
      <c r="E373" s="93">
        <v>45996</v>
      </c>
      <c r="F373" s="91" t="s">
        <v>1308</v>
      </c>
      <c r="G373" s="92" t="s">
        <v>1309</v>
      </c>
      <c r="H373" s="102">
        <v>45658</v>
      </c>
      <c r="I373" s="94">
        <v>82740000</v>
      </c>
      <c r="J373" s="94">
        <v>24846847</v>
      </c>
      <c r="K373" s="94">
        <f t="shared" si="65"/>
        <v>2733153.17</v>
      </c>
      <c r="L373" s="94">
        <f t="shared" si="66"/>
        <v>27580000.170000002</v>
      </c>
      <c r="M373" s="99"/>
      <c r="N373" s="94"/>
      <c r="O373" s="94">
        <f t="shared" si="67"/>
        <v>27580000.170000002</v>
      </c>
      <c r="P373" s="92"/>
      <c r="Q373" s="40"/>
      <c r="R373" s="40"/>
      <c r="S373" s="40"/>
      <c r="T373" s="40"/>
      <c r="U373" s="40"/>
      <c r="V373" s="40"/>
    </row>
    <row r="374" spans="1:22" s="17" customFormat="1" ht="15" customHeight="1" x14ac:dyDescent="0.35">
      <c r="A374" s="99">
        <v>6</v>
      </c>
      <c r="B374" s="88" t="s">
        <v>442</v>
      </c>
      <c r="C374" s="230" t="s">
        <v>1310</v>
      </c>
      <c r="D374" s="90">
        <v>46001</v>
      </c>
      <c r="E374" s="93">
        <v>46002</v>
      </c>
      <c r="F374" s="91" t="s">
        <v>1311</v>
      </c>
      <c r="G374" s="92" t="s">
        <v>445</v>
      </c>
      <c r="H374" s="102">
        <v>45658</v>
      </c>
      <c r="I374" s="94">
        <v>51448500</v>
      </c>
      <c r="J374" s="94">
        <v>11587500</v>
      </c>
      <c r="K374" s="94">
        <f t="shared" si="65"/>
        <v>1274625</v>
      </c>
      <c r="L374" s="94">
        <f t="shared" si="66"/>
        <v>12862125</v>
      </c>
      <c r="M374" s="99"/>
      <c r="N374" s="94"/>
      <c r="O374" s="94">
        <f t="shared" si="67"/>
        <v>12862125</v>
      </c>
      <c r="P374" s="92"/>
      <c r="Q374" s="40"/>
      <c r="R374" s="40"/>
      <c r="S374" s="40"/>
      <c r="T374" s="40"/>
      <c r="U374" s="40"/>
      <c r="V374" s="40"/>
    </row>
    <row r="375" spans="1:22" s="17" customFormat="1" ht="15" customHeight="1" x14ac:dyDescent="0.35">
      <c r="A375" s="99">
        <v>7</v>
      </c>
      <c r="B375" s="101" t="s">
        <v>664</v>
      </c>
      <c r="C375" s="99" t="s">
        <v>1318</v>
      </c>
      <c r="D375" s="102">
        <v>45993</v>
      </c>
      <c r="E375" s="93">
        <v>45996</v>
      </c>
      <c r="F375" s="91" t="s">
        <v>1312</v>
      </c>
      <c r="G375" s="92" t="s">
        <v>1309</v>
      </c>
      <c r="H375" s="102">
        <v>45658</v>
      </c>
      <c r="I375" s="94">
        <v>82740000</v>
      </c>
      <c r="J375" s="94">
        <v>24846847</v>
      </c>
      <c r="K375" s="94">
        <f t="shared" si="65"/>
        <v>2733153.17</v>
      </c>
      <c r="L375" s="94">
        <f t="shared" si="66"/>
        <v>27580000.170000002</v>
      </c>
      <c r="M375" s="99"/>
      <c r="N375" s="94"/>
      <c r="O375" s="94">
        <f t="shared" si="67"/>
        <v>27580000.170000002</v>
      </c>
      <c r="P375" s="92"/>
      <c r="Q375" s="40"/>
      <c r="R375" s="40"/>
      <c r="S375" s="40"/>
      <c r="T375" s="40"/>
      <c r="U375" s="40"/>
      <c r="V375" s="40"/>
    </row>
    <row r="376" spans="1:22" s="17" customFormat="1" ht="40" customHeight="1" x14ac:dyDescent="0.35">
      <c r="A376" s="99">
        <v>8</v>
      </c>
      <c r="B376" s="101" t="s">
        <v>1317</v>
      </c>
      <c r="C376" s="99" t="s">
        <v>1319</v>
      </c>
      <c r="D376" s="102">
        <v>45992</v>
      </c>
      <c r="E376" s="93">
        <v>45996</v>
      </c>
      <c r="F376" s="91" t="s">
        <v>1322</v>
      </c>
      <c r="G376" s="91" t="s">
        <v>1321</v>
      </c>
      <c r="H376" s="102">
        <v>45990</v>
      </c>
      <c r="I376" s="94">
        <v>190365000</v>
      </c>
      <c r="J376" s="94">
        <v>34300000</v>
      </c>
      <c r="K376" s="94">
        <f t="shared" si="65"/>
        <v>3773000</v>
      </c>
      <c r="L376" s="94">
        <f t="shared" si="66"/>
        <v>38073000</v>
      </c>
      <c r="M376" s="99" t="s">
        <v>1438</v>
      </c>
      <c r="N376" s="100">
        <v>34300000</v>
      </c>
      <c r="O376" s="94">
        <f t="shared" si="67"/>
        <v>3773000</v>
      </c>
      <c r="P376" s="92" t="s">
        <v>1427</v>
      </c>
      <c r="Q376" s="40"/>
      <c r="R376" s="40"/>
      <c r="S376" s="40"/>
      <c r="T376" s="40"/>
      <c r="U376" s="40"/>
      <c r="V376" s="40"/>
    </row>
    <row r="377" spans="1:22" s="17" customFormat="1" ht="15" customHeight="1" x14ac:dyDescent="0.35">
      <c r="A377" s="99">
        <v>9</v>
      </c>
      <c r="B377" s="101" t="s">
        <v>664</v>
      </c>
      <c r="C377" s="99" t="s">
        <v>1320</v>
      </c>
      <c r="D377" s="102">
        <v>45995</v>
      </c>
      <c r="E377" s="102">
        <v>45996</v>
      </c>
      <c r="F377" s="91" t="s">
        <v>1323</v>
      </c>
      <c r="G377" s="92" t="s">
        <v>1309</v>
      </c>
      <c r="H377" s="102">
        <v>45658</v>
      </c>
      <c r="I377" s="94">
        <v>82740000</v>
      </c>
      <c r="J377" s="94">
        <v>24846847</v>
      </c>
      <c r="K377" s="94">
        <f t="shared" si="65"/>
        <v>2733153.17</v>
      </c>
      <c r="L377" s="94">
        <f t="shared" si="66"/>
        <v>27580000.170000002</v>
      </c>
      <c r="M377" s="99"/>
      <c r="N377" s="100"/>
      <c r="O377" s="94">
        <f t="shared" si="67"/>
        <v>27580000.170000002</v>
      </c>
      <c r="P377" s="92"/>
      <c r="Q377" s="40"/>
      <c r="R377" s="40"/>
      <c r="S377" s="40"/>
      <c r="T377" s="40"/>
      <c r="U377" s="40"/>
      <c r="V377" s="40"/>
    </row>
    <row r="378" spans="1:22" s="17" customFormat="1" ht="15" customHeight="1" x14ac:dyDescent="0.35">
      <c r="A378" s="99">
        <v>10</v>
      </c>
      <c r="B378" s="101" t="s">
        <v>1324</v>
      </c>
      <c r="C378" s="99" t="s">
        <v>1325</v>
      </c>
      <c r="D378" s="102">
        <v>45994</v>
      </c>
      <c r="E378" s="102">
        <v>45995</v>
      </c>
      <c r="F378" s="91" t="s">
        <v>1326</v>
      </c>
      <c r="G378" s="92">
        <v>4500018715</v>
      </c>
      <c r="H378" s="102">
        <v>45988</v>
      </c>
      <c r="I378" s="94">
        <v>49483800</v>
      </c>
      <c r="J378" s="94">
        <v>44580000</v>
      </c>
      <c r="K378" s="94">
        <f t="shared" si="65"/>
        <v>4903800</v>
      </c>
      <c r="L378" s="94">
        <f t="shared" si="66"/>
        <v>49483800</v>
      </c>
      <c r="M378" s="99"/>
      <c r="N378" s="100"/>
      <c r="O378" s="94">
        <f t="shared" si="67"/>
        <v>49483800</v>
      </c>
      <c r="P378" s="92"/>
      <c r="Q378" s="40"/>
      <c r="R378" s="40"/>
      <c r="S378" s="40"/>
      <c r="T378" s="40"/>
      <c r="U378" s="40"/>
      <c r="V378" s="40"/>
    </row>
    <row r="379" spans="1:22" s="17" customFormat="1" ht="40" customHeight="1" x14ac:dyDescent="0.35">
      <c r="A379" s="99">
        <v>11</v>
      </c>
      <c r="B379" s="101" t="s">
        <v>1327</v>
      </c>
      <c r="C379" s="99" t="s">
        <v>1328</v>
      </c>
      <c r="D379" s="102">
        <v>45994</v>
      </c>
      <c r="E379" s="102">
        <v>45995</v>
      </c>
      <c r="F379" s="91" t="s">
        <v>1329</v>
      </c>
      <c r="G379" s="92" t="s">
        <v>1330</v>
      </c>
      <c r="H379" s="102">
        <v>45882</v>
      </c>
      <c r="I379" s="94">
        <v>361416000</v>
      </c>
      <c r="J379" s="94">
        <v>325600000</v>
      </c>
      <c r="K379" s="94">
        <f t="shared" si="65"/>
        <v>35816000</v>
      </c>
      <c r="L379" s="94">
        <f t="shared" si="66"/>
        <v>361416000</v>
      </c>
      <c r="M379" s="99"/>
      <c r="N379" s="100"/>
      <c r="O379" s="94">
        <f t="shared" si="67"/>
        <v>361416000</v>
      </c>
      <c r="P379" s="92"/>
      <c r="Q379" s="40"/>
      <c r="R379" s="40"/>
      <c r="S379" s="40"/>
      <c r="T379" s="40"/>
      <c r="U379" s="40"/>
      <c r="V379" s="40"/>
    </row>
    <row r="380" spans="1:22" s="17" customFormat="1" ht="30" customHeight="1" x14ac:dyDescent="0.35">
      <c r="A380" s="99">
        <v>12</v>
      </c>
      <c r="B380" s="101" t="s">
        <v>78</v>
      </c>
      <c r="C380" s="99" t="s">
        <v>1331</v>
      </c>
      <c r="D380" s="102">
        <v>45996</v>
      </c>
      <c r="E380" s="102">
        <v>45999</v>
      </c>
      <c r="F380" s="111" t="s">
        <v>1332</v>
      </c>
      <c r="G380" s="92" t="s">
        <v>884</v>
      </c>
      <c r="H380" s="102">
        <v>45838</v>
      </c>
      <c r="I380" s="94">
        <v>22200000</v>
      </c>
      <c r="J380" s="94">
        <v>5000000</v>
      </c>
      <c r="K380" s="94">
        <f t="shared" si="65"/>
        <v>550000</v>
      </c>
      <c r="L380" s="94">
        <f t="shared" si="66"/>
        <v>5550000</v>
      </c>
      <c r="M380" s="99"/>
      <c r="N380" s="100"/>
      <c r="O380" s="94">
        <f t="shared" si="67"/>
        <v>5550000</v>
      </c>
      <c r="P380" s="92"/>
      <c r="Q380" s="40"/>
      <c r="R380" s="40"/>
      <c r="S380" s="40"/>
      <c r="T380" s="40"/>
      <c r="U380" s="40"/>
      <c r="V380" s="40"/>
    </row>
    <row r="381" spans="1:22" s="17" customFormat="1" ht="15" customHeight="1" x14ac:dyDescent="0.35">
      <c r="A381" s="99">
        <v>13</v>
      </c>
      <c r="B381" s="101" t="s">
        <v>1333</v>
      </c>
      <c r="C381" s="99" t="s">
        <v>1301</v>
      </c>
      <c r="D381" s="102">
        <v>45996</v>
      </c>
      <c r="E381" s="102">
        <v>46000</v>
      </c>
      <c r="F381" s="91" t="s">
        <v>1334</v>
      </c>
      <c r="G381" s="92" t="s">
        <v>1335</v>
      </c>
      <c r="H381" s="93">
        <v>45995</v>
      </c>
      <c r="I381" s="94">
        <v>28305000</v>
      </c>
      <c r="J381" s="94">
        <v>25500000</v>
      </c>
      <c r="K381" s="94">
        <f t="shared" si="65"/>
        <v>2805000</v>
      </c>
      <c r="L381" s="94">
        <f t="shared" si="66"/>
        <v>28305000</v>
      </c>
      <c r="M381" s="99"/>
      <c r="N381" s="100"/>
      <c r="O381" s="94">
        <f t="shared" si="67"/>
        <v>28305000</v>
      </c>
      <c r="P381" s="92"/>
      <c r="Q381" s="40"/>
      <c r="R381" s="40"/>
      <c r="S381" s="40"/>
      <c r="T381" s="40"/>
      <c r="U381" s="40"/>
      <c r="V381" s="40"/>
    </row>
    <row r="382" spans="1:22" s="17" customFormat="1" ht="15" customHeight="1" x14ac:dyDescent="0.35">
      <c r="A382" s="99">
        <v>14</v>
      </c>
      <c r="B382" s="101" t="s">
        <v>1336</v>
      </c>
      <c r="C382" s="99" t="s">
        <v>1338</v>
      </c>
      <c r="D382" s="102">
        <v>46001</v>
      </c>
      <c r="E382" s="102">
        <v>46003</v>
      </c>
      <c r="F382" s="104" t="s">
        <v>1337</v>
      </c>
      <c r="G382" s="97" t="s">
        <v>1235</v>
      </c>
      <c r="H382" s="90">
        <v>45979</v>
      </c>
      <c r="I382" s="95">
        <v>277500000</v>
      </c>
      <c r="J382" s="94">
        <v>62500000</v>
      </c>
      <c r="K382" s="94">
        <f t="shared" si="65"/>
        <v>6875000</v>
      </c>
      <c r="L382" s="94">
        <f t="shared" si="66"/>
        <v>69375000</v>
      </c>
      <c r="M382" s="99" t="s">
        <v>1425</v>
      </c>
      <c r="N382" s="100">
        <v>69375000</v>
      </c>
      <c r="O382" s="94">
        <f t="shared" si="67"/>
        <v>0</v>
      </c>
      <c r="P382" s="92"/>
      <c r="Q382" s="40"/>
      <c r="R382" s="40"/>
      <c r="S382" s="40"/>
      <c r="T382" s="40"/>
      <c r="U382" s="40"/>
      <c r="V382" s="40"/>
    </row>
    <row r="383" spans="1:22" s="17" customFormat="1" ht="30" customHeight="1" x14ac:dyDescent="0.35">
      <c r="A383" s="99">
        <v>15</v>
      </c>
      <c r="B383" s="101" t="s">
        <v>1336</v>
      </c>
      <c r="C383" s="99" t="s">
        <v>1339</v>
      </c>
      <c r="D383" s="102">
        <v>46001</v>
      </c>
      <c r="E383" s="93">
        <v>46003</v>
      </c>
      <c r="F383" s="104" t="s">
        <v>1340</v>
      </c>
      <c r="G383" s="97" t="s">
        <v>1234</v>
      </c>
      <c r="H383" s="90">
        <v>45980</v>
      </c>
      <c r="I383" s="95">
        <v>27750000</v>
      </c>
      <c r="J383" s="94">
        <v>12500000</v>
      </c>
      <c r="K383" s="94">
        <f t="shared" si="65"/>
        <v>1375000</v>
      </c>
      <c r="L383" s="94">
        <f t="shared" si="66"/>
        <v>13875000</v>
      </c>
      <c r="M383" s="99" t="s">
        <v>1426</v>
      </c>
      <c r="N383" s="100">
        <v>13875000</v>
      </c>
      <c r="O383" s="94">
        <f t="shared" si="67"/>
        <v>0</v>
      </c>
      <c r="P383" s="92"/>
      <c r="Q383" s="40"/>
      <c r="R383" s="40"/>
      <c r="S383" s="40"/>
      <c r="T383" s="40"/>
      <c r="U383" s="40"/>
      <c r="V383" s="40"/>
    </row>
    <row r="384" spans="1:22" s="17" customFormat="1" ht="30" customHeight="1" x14ac:dyDescent="0.35">
      <c r="A384" s="99">
        <v>16</v>
      </c>
      <c r="B384" s="101" t="s">
        <v>175</v>
      </c>
      <c r="C384" s="99" t="s">
        <v>1341</v>
      </c>
      <c r="D384" s="102">
        <v>46001</v>
      </c>
      <c r="E384" s="102">
        <v>46015</v>
      </c>
      <c r="F384" s="91" t="s">
        <v>1342</v>
      </c>
      <c r="G384" s="92">
        <v>169069</v>
      </c>
      <c r="H384" s="102">
        <v>45980</v>
      </c>
      <c r="I384" s="94">
        <v>33299999.989999998</v>
      </c>
      <c r="J384" s="94">
        <v>30000000</v>
      </c>
      <c r="K384" s="94">
        <f t="shared" si="65"/>
        <v>3300000</v>
      </c>
      <c r="L384" s="94">
        <f t="shared" si="66"/>
        <v>33300000</v>
      </c>
      <c r="M384" s="99"/>
      <c r="N384" s="100"/>
      <c r="O384" s="94">
        <f t="shared" si="67"/>
        <v>33300000</v>
      </c>
      <c r="P384" s="92"/>
      <c r="Q384" s="40"/>
      <c r="R384" s="40"/>
      <c r="S384" s="40"/>
      <c r="T384" s="40"/>
      <c r="U384" s="40"/>
      <c r="V384" s="40"/>
    </row>
    <row r="385" spans="1:22" s="17" customFormat="1" ht="70" customHeight="1" x14ac:dyDescent="0.35">
      <c r="A385" s="99">
        <v>17</v>
      </c>
      <c r="B385" s="101" t="s">
        <v>1343</v>
      </c>
      <c r="C385" s="99" t="s">
        <v>1344</v>
      </c>
      <c r="D385" s="102">
        <v>46001</v>
      </c>
      <c r="E385" s="102">
        <v>46015</v>
      </c>
      <c r="F385" s="91" t="s">
        <v>1345</v>
      </c>
      <c r="G385" s="92" t="s">
        <v>1346</v>
      </c>
      <c r="H385" s="102">
        <v>45952</v>
      </c>
      <c r="I385" s="94">
        <v>577200000</v>
      </c>
      <c r="J385" s="94">
        <v>130000000</v>
      </c>
      <c r="K385" s="94">
        <f t="shared" si="65"/>
        <v>14300000</v>
      </c>
      <c r="L385" s="94">
        <f t="shared" si="66"/>
        <v>144300000</v>
      </c>
      <c r="M385" s="99"/>
      <c r="N385" s="100"/>
      <c r="O385" s="94">
        <f t="shared" si="67"/>
        <v>144300000</v>
      </c>
      <c r="P385" s="92"/>
      <c r="Q385" s="40"/>
      <c r="R385" s="40"/>
      <c r="S385" s="40"/>
      <c r="T385" s="40"/>
      <c r="U385" s="40"/>
      <c r="V385" s="40"/>
    </row>
    <row r="386" spans="1:22" s="17" customFormat="1" ht="50" customHeight="1" x14ac:dyDescent="0.35">
      <c r="A386" s="99">
        <v>18</v>
      </c>
      <c r="B386" s="101" t="s">
        <v>1347</v>
      </c>
      <c r="C386" s="99" t="s">
        <v>1349</v>
      </c>
      <c r="D386" s="102">
        <v>46001</v>
      </c>
      <c r="E386" s="102">
        <v>46002</v>
      </c>
      <c r="F386" s="91" t="s">
        <v>1348</v>
      </c>
      <c r="G386" s="92" t="s">
        <v>1003</v>
      </c>
      <c r="H386" s="93">
        <v>45863</v>
      </c>
      <c r="I386" s="94">
        <v>99234000000</v>
      </c>
      <c r="J386" s="94">
        <v>53640000</v>
      </c>
      <c r="K386" s="94">
        <f t="shared" si="65"/>
        <v>5900400</v>
      </c>
      <c r="L386" s="94">
        <f t="shared" si="66"/>
        <v>59540400</v>
      </c>
      <c r="M386" s="99" t="s">
        <v>1423</v>
      </c>
      <c r="N386" s="100">
        <v>52567200</v>
      </c>
      <c r="O386" s="94">
        <f t="shared" si="67"/>
        <v>6973200</v>
      </c>
      <c r="P386" s="92" t="s">
        <v>1424</v>
      </c>
      <c r="Q386" s="40"/>
      <c r="R386" s="40"/>
      <c r="S386" s="40"/>
      <c r="T386" s="40"/>
      <c r="U386" s="40"/>
      <c r="V386" s="40"/>
    </row>
    <row r="387" spans="1:22" s="17" customFormat="1" ht="40" customHeight="1" x14ac:dyDescent="0.35">
      <c r="A387" s="99">
        <v>19</v>
      </c>
      <c r="B387" s="101" t="s">
        <v>1317</v>
      </c>
      <c r="C387" s="99" t="s">
        <v>1350</v>
      </c>
      <c r="D387" s="102">
        <v>46001</v>
      </c>
      <c r="E387" s="102">
        <v>46003</v>
      </c>
      <c r="F387" s="91" t="s">
        <v>1351</v>
      </c>
      <c r="G387" s="91" t="s">
        <v>1321</v>
      </c>
      <c r="H387" s="102">
        <v>45990</v>
      </c>
      <c r="I387" s="94">
        <v>190365000</v>
      </c>
      <c r="J387" s="95">
        <v>137200000</v>
      </c>
      <c r="K387" s="94">
        <f t="shared" si="65"/>
        <v>15092000</v>
      </c>
      <c r="L387" s="94">
        <f t="shared" si="66"/>
        <v>152292000</v>
      </c>
      <c r="M387" s="99"/>
      <c r="N387" s="100"/>
      <c r="O387" s="94">
        <f t="shared" si="67"/>
        <v>152292000</v>
      </c>
      <c r="P387" s="92"/>
      <c r="Q387" s="40"/>
      <c r="R387" s="40"/>
      <c r="S387" s="40"/>
      <c r="T387" s="40"/>
      <c r="U387" s="40"/>
      <c r="V387" s="40"/>
    </row>
    <row r="388" spans="1:22" s="17" customFormat="1" ht="30" customHeight="1" x14ac:dyDescent="0.35">
      <c r="A388" s="99">
        <v>20</v>
      </c>
      <c r="B388" s="101" t="s">
        <v>558</v>
      </c>
      <c r="C388" s="99" t="s">
        <v>1352</v>
      </c>
      <c r="D388" s="102">
        <v>46001</v>
      </c>
      <c r="E388" s="102">
        <v>46007</v>
      </c>
      <c r="F388" s="105" t="s">
        <v>1353</v>
      </c>
      <c r="G388" s="92" t="s">
        <v>561</v>
      </c>
      <c r="H388" s="102">
        <v>45784</v>
      </c>
      <c r="I388" s="94">
        <v>258491250</v>
      </c>
      <c r="J388" s="94">
        <v>77625000</v>
      </c>
      <c r="K388" s="94">
        <f t="shared" si="65"/>
        <v>8538750</v>
      </c>
      <c r="L388" s="94">
        <f t="shared" si="66"/>
        <v>86163750</v>
      </c>
      <c r="M388" s="99"/>
      <c r="N388" s="100"/>
      <c r="O388" s="94">
        <f t="shared" si="67"/>
        <v>86163750</v>
      </c>
      <c r="P388" s="92"/>
      <c r="Q388" s="40"/>
      <c r="R388" s="40"/>
      <c r="S388" s="40"/>
      <c r="T388" s="40"/>
      <c r="U388" s="40"/>
      <c r="V388" s="40"/>
    </row>
    <row r="389" spans="1:22" s="17" customFormat="1" ht="30" customHeight="1" x14ac:dyDescent="0.35">
      <c r="A389" s="99">
        <v>21</v>
      </c>
      <c r="B389" s="88" t="s">
        <v>362</v>
      </c>
      <c r="C389" s="230" t="s">
        <v>1354</v>
      </c>
      <c r="D389" s="90">
        <v>46006</v>
      </c>
      <c r="E389" s="93">
        <v>46009</v>
      </c>
      <c r="F389" s="91" t="s">
        <v>1355</v>
      </c>
      <c r="G389" s="92" t="s">
        <v>952</v>
      </c>
      <c r="H389" s="102">
        <v>45901</v>
      </c>
      <c r="I389" s="94">
        <v>14097000</v>
      </c>
      <c r="J389" s="94">
        <v>8890000</v>
      </c>
      <c r="K389" s="94">
        <f t="shared" si="65"/>
        <v>977900</v>
      </c>
      <c r="L389" s="94">
        <f t="shared" si="66"/>
        <v>9867900</v>
      </c>
      <c r="M389" s="99"/>
      <c r="N389" s="100"/>
      <c r="O389" s="94">
        <f t="shared" si="67"/>
        <v>9867900</v>
      </c>
      <c r="P389" s="92"/>
      <c r="Q389" s="40"/>
      <c r="R389" s="40"/>
      <c r="S389" s="40"/>
      <c r="T389" s="40"/>
      <c r="U389" s="40"/>
      <c r="V389" s="40"/>
    </row>
    <row r="390" spans="1:22" s="17" customFormat="1" ht="15" customHeight="1" x14ac:dyDescent="0.35">
      <c r="A390" s="99">
        <v>22</v>
      </c>
      <c r="B390" s="101" t="s">
        <v>106</v>
      </c>
      <c r="C390" s="99" t="s">
        <v>1356</v>
      </c>
      <c r="D390" s="102">
        <v>46006</v>
      </c>
      <c r="E390" s="93">
        <v>46009</v>
      </c>
      <c r="F390" s="91" t="s">
        <v>1357</v>
      </c>
      <c r="G390" s="97" t="s">
        <v>822</v>
      </c>
      <c r="H390" s="102">
        <v>45845</v>
      </c>
      <c r="I390" s="95">
        <v>1078365000</v>
      </c>
      <c r="J390" s="94">
        <v>680050000</v>
      </c>
      <c r="K390" s="94">
        <f t="shared" si="65"/>
        <v>74805500</v>
      </c>
      <c r="L390" s="94">
        <f t="shared" si="66"/>
        <v>754855500</v>
      </c>
      <c r="M390" s="99"/>
      <c r="N390" s="100"/>
      <c r="O390" s="94">
        <f t="shared" si="67"/>
        <v>754855500</v>
      </c>
      <c r="P390" s="92"/>
      <c r="Q390" s="40"/>
      <c r="R390" s="40"/>
      <c r="S390" s="40"/>
      <c r="T390" s="40"/>
      <c r="U390" s="40"/>
      <c r="V390" s="40"/>
    </row>
    <row r="391" spans="1:22" s="17" customFormat="1" ht="30" customHeight="1" x14ac:dyDescent="0.35">
      <c r="A391" s="99">
        <v>23</v>
      </c>
      <c r="B391" s="101" t="s">
        <v>339</v>
      </c>
      <c r="C391" s="99" t="s">
        <v>1302</v>
      </c>
      <c r="D391" s="102">
        <v>46006</v>
      </c>
      <c r="E391" s="93">
        <v>46009</v>
      </c>
      <c r="F391" s="91" t="s">
        <v>1358</v>
      </c>
      <c r="G391" s="92" t="s">
        <v>910</v>
      </c>
      <c r="H391" s="93">
        <v>45869</v>
      </c>
      <c r="I391" s="94">
        <v>8880000</v>
      </c>
      <c r="J391" s="95">
        <v>5600000</v>
      </c>
      <c r="K391" s="94">
        <f t="shared" si="65"/>
        <v>616000</v>
      </c>
      <c r="L391" s="94">
        <f t="shared" si="66"/>
        <v>6216000</v>
      </c>
      <c r="M391" s="99"/>
      <c r="N391" s="100"/>
      <c r="O391" s="94">
        <f t="shared" si="67"/>
        <v>6216000</v>
      </c>
      <c r="P391" s="92"/>
      <c r="Q391" s="40"/>
      <c r="R391" s="40"/>
      <c r="S391" s="40"/>
      <c r="T391" s="40"/>
      <c r="U391" s="40"/>
      <c r="V391" s="40"/>
    </row>
    <row r="392" spans="1:22" s="17" customFormat="1" ht="15" customHeight="1" x14ac:dyDescent="0.35">
      <c r="A392" s="99">
        <v>24</v>
      </c>
      <c r="B392" s="101" t="s">
        <v>210</v>
      </c>
      <c r="C392" s="99" t="s">
        <v>1359</v>
      </c>
      <c r="D392" s="102">
        <v>46006</v>
      </c>
      <c r="E392" s="93">
        <v>46009</v>
      </c>
      <c r="F392" s="91" t="s">
        <v>1360</v>
      </c>
      <c r="G392" s="92" t="s">
        <v>712</v>
      </c>
      <c r="H392" s="93">
        <v>45839</v>
      </c>
      <c r="I392" s="94">
        <v>39627000</v>
      </c>
      <c r="J392" s="94">
        <v>24990000</v>
      </c>
      <c r="K392" s="94">
        <f t="shared" si="65"/>
        <v>2748900</v>
      </c>
      <c r="L392" s="94">
        <f t="shared" si="66"/>
        <v>27738900</v>
      </c>
      <c r="M392" s="99"/>
      <c r="N392" s="100"/>
      <c r="O392" s="94">
        <f t="shared" si="67"/>
        <v>27738900</v>
      </c>
      <c r="P392" s="92"/>
      <c r="Q392" s="40"/>
      <c r="R392" s="40"/>
      <c r="S392" s="40"/>
      <c r="T392" s="40"/>
      <c r="U392" s="40"/>
      <c r="V392" s="40"/>
    </row>
    <row r="393" spans="1:22" s="17" customFormat="1" ht="15" customHeight="1" x14ac:dyDescent="0.35">
      <c r="A393" s="99">
        <v>25</v>
      </c>
      <c r="B393" s="101" t="s">
        <v>345</v>
      </c>
      <c r="C393" s="99" t="s">
        <v>1361</v>
      </c>
      <c r="D393" s="102">
        <v>46006</v>
      </c>
      <c r="E393" s="93">
        <v>46009</v>
      </c>
      <c r="F393" s="91" t="s">
        <v>1362</v>
      </c>
      <c r="G393" s="92" t="s">
        <v>880</v>
      </c>
      <c r="H393" s="93">
        <v>45869</v>
      </c>
      <c r="I393" s="94">
        <v>54129150</v>
      </c>
      <c r="J393" s="94">
        <v>34135500</v>
      </c>
      <c r="K393" s="94">
        <f t="shared" si="65"/>
        <v>3754905</v>
      </c>
      <c r="L393" s="94">
        <f t="shared" si="66"/>
        <v>37890405</v>
      </c>
      <c r="M393" s="99"/>
      <c r="N393" s="100"/>
      <c r="O393" s="94">
        <f t="shared" si="67"/>
        <v>37890405</v>
      </c>
      <c r="P393" s="92"/>
      <c r="Q393" s="40"/>
      <c r="R393" s="40"/>
      <c r="S393" s="40"/>
      <c r="T393" s="40"/>
      <c r="U393" s="40"/>
      <c r="V393" s="40"/>
    </row>
    <row r="394" spans="1:22" s="17" customFormat="1" ht="15" customHeight="1" x14ac:dyDescent="0.35">
      <c r="A394" s="99">
        <v>26</v>
      </c>
      <c r="B394" s="101" t="s">
        <v>345</v>
      </c>
      <c r="C394" s="99" t="s">
        <v>1363</v>
      </c>
      <c r="D394" s="102">
        <v>46006</v>
      </c>
      <c r="E394" s="93">
        <v>46009</v>
      </c>
      <c r="F394" s="101" t="s">
        <v>1364</v>
      </c>
      <c r="G394" s="92" t="s">
        <v>335</v>
      </c>
      <c r="H394" s="102">
        <v>45730</v>
      </c>
      <c r="I394" s="206">
        <v>260295000</v>
      </c>
      <c r="J394" s="94">
        <v>164150000</v>
      </c>
      <c r="K394" s="94">
        <f t="shared" si="65"/>
        <v>18056500</v>
      </c>
      <c r="L394" s="94">
        <f t="shared" si="66"/>
        <v>182206500</v>
      </c>
      <c r="M394" s="99"/>
      <c r="N394" s="100"/>
      <c r="O394" s="94">
        <f t="shared" si="67"/>
        <v>182206500</v>
      </c>
      <c r="P394" s="92"/>
      <c r="Q394" s="40"/>
      <c r="R394" s="40"/>
      <c r="S394" s="40"/>
      <c r="T394" s="40"/>
      <c r="U394" s="40"/>
      <c r="V394" s="40"/>
    </row>
    <row r="395" spans="1:22" s="17" customFormat="1" ht="15" customHeight="1" x14ac:dyDescent="0.35">
      <c r="A395" s="99">
        <v>27</v>
      </c>
      <c r="B395" s="101" t="s">
        <v>343</v>
      </c>
      <c r="C395" s="99" t="s">
        <v>1365</v>
      </c>
      <c r="D395" s="102">
        <v>46006</v>
      </c>
      <c r="E395" s="93">
        <v>46009</v>
      </c>
      <c r="F395" s="101" t="s">
        <v>1366</v>
      </c>
      <c r="G395" s="92" t="s">
        <v>334</v>
      </c>
      <c r="H395" s="102">
        <v>45730</v>
      </c>
      <c r="I395" s="206">
        <v>298254891</v>
      </c>
      <c r="J395" s="94">
        <v>188088670</v>
      </c>
      <c r="K395" s="94">
        <f t="shared" si="65"/>
        <v>20689753.699999999</v>
      </c>
      <c r="L395" s="94">
        <f t="shared" si="66"/>
        <v>208778423.69999999</v>
      </c>
      <c r="M395" s="99"/>
      <c r="N395" s="100"/>
      <c r="O395" s="94">
        <f t="shared" si="67"/>
        <v>208778423.69999999</v>
      </c>
      <c r="P395" s="92"/>
      <c r="Q395" s="40"/>
      <c r="R395" s="40"/>
      <c r="S395" s="40"/>
      <c r="T395" s="40"/>
      <c r="U395" s="40"/>
      <c r="V395" s="40"/>
    </row>
    <row r="396" spans="1:22" s="17" customFormat="1" ht="15" customHeight="1" x14ac:dyDescent="0.35">
      <c r="A396" s="99">
        <v>28</v>
      </c>
      <c r="B396" s="101" t="s">
        <v>1367</v>
      </c>
      <c r="C396" s="99" t="s">
        <v>1368</v>
      </c>
      <c r="D396" s="102">
        <v>46006</v>
      </c>
      <c r="E396" s="102">
        <v>46008</v>
      </c>
      <c r="F396" s="104" t="s">
        <v>346</v>
      </c>
      <c r="G396" s="97" t="s">
        <v>1369</v>
      </c>
      <c r="H396" s="90">
        <v>46001</v>
      </c>
      <c r="I396" s="95">
        <v>260295000</v>
      </c>
      <c r="J396" s="94">
        <v>70350000</v>
      </c>
      <c r="K396" s="94">
        <f t="shared" si="65"/>
        <v>7738500</v>
      </c>
      <c r="L396" s="94">
        <f t="shared" si="66"/>
        <v>78088500</v>
      </c>
      <c r="M396" s="246" t="s">
        <v>1433</v>
      </c>
      <c r="N396" s="243">
        <v>741040200</v>
      </c>
      <c r="O396" s="243">
        <f>L396+L397+L398+L399+L400+L401-N396</f>
        <v>550800</v>
      </c>
      <c r="P396" s="92" t="s">
        <v>1431</v>
      </c>
      <c r="Q396" s="40"/>
      <c r="R396" s="40"/>
      <c r="S396" s="40"/>
      <c r="T396" s="40"/>
      <c r="U396" s="40"/>
      <c r="V396" s="40"/>
    </row>
    <row r="397" spans="1:22" s="17" customFormat="1" ht="15" customHeight="1" x14ac:dyDescent="0.35">
      <c r="A397" s="99">
        <v>29</v>
      </c>
      <c r="B397" s="101" t="s">
        <v>1370</v>
      </c>
      <c r="C397" s="99" t="s">
        <v>1371</v>
      </c>
      <c r="D397" s="102">
        <v>46006</v>
      </c>
      <c r="E397" s="102">
        <v>46008</v>
      </c>
      <c r="F397" s="104" t="s">
        <v>328</v>
      </c>
      <c r="G397" s="97" t="s">
        <v>1372</v>
      </c>
      <c r="H397" s="90">
        <v>46001</v>
      </c>
      <c r="I397" s="95">
        <v>520590000</v>
      </c>
      <c r="J397" s="94">
        <v>140700000</v>
      </c>
      <c r="K397" s="94">
        <f t="shared" si="65"/>
        <v>15477000</v>
      </c>
      <c r="L397" s="94">
        <f t="shared" si="66"/>
        <v>156177000</v>
      </c>
      <c r="M397" s="247"/>
      <c r="N397" s="244"/>
      <c r="O397" s="244"/>
      <c r="P397" s="92" t="s">
        <v>1432</v>
      </c>
      <c r="Q397" s="40"/>
      <c r="R397" s="40"/>
      <c r="S397" s="40"/>
      <c r="T397" s="40"/>
      <c r="U397" s="40"/>
      <c r="V397" s="40"/>
    </row>
    <row r="398" spans="1:22" s="17" customFormat="1" ht="15" customHeight="1" x14ac:dyDescent="0.35">
      <c r="A398" s="99">
        <v>30</v>
      </c>
      <c r="B398" s="101" t="s">
        <v>1373</v>
      </c>
      <c r="C398" s="99" t="s">
        <v>1374</v>
      </c>
      <c r="D398" s="102">
        <v>46006</v>
      </c>
      <c r="E398" s="102">
        <v>46008</v>
      </c>
      <c r="F398" s="104" t="s">
        <v>346</v>
      </c>
      <c r="G398" s="97" t="s">
        <v>1375</v>
      </c>
      <c r="H398" s="90">
        <v>46001</v>
      </c>
      <c r="I398" s="95">
        <v>260295000</v>
      </c>
      <c r="J398" s="94">
        <v>70350000</v>
      </c>
      <c r="K398" s="94">
        <f t="shared" si="65"/>
        <v>7738500</v>
      </c>
      <c r="L398" s="94">
        <f t="shared" si="66"/>
        <v>78088500</v>
      </c>
      <c r="M398" s="247"/>
      <c r="N398" s="244"/>
      <c r="O398" s="244"/>
      <c r="P398" s="92" t="s">
        <v>1431</v>
      </c>
      <c r="Q398" s="40"/>
      <c r="R398" s="40"/>
      <c r="S398" s="40"/>
      <c r="T398" s="40"/>
      <c r="U398" s="40"/>
      <c r="V398" s="40"/>
    </row>
    <row r="399" spans="1:22" s="17" customFormat="1" ht="15" customHeight="1" x14ac:dyDescent="0.35">
      <c r="A399" s="99">
        <v>31</v>
      </c>
      <c r="B399" s="101" t="s">
        <v>1376</v>
      </c>
      <c r="C399" s="99" t="s">
        <v>1377</v>
      </c>
      <c r="D399" s="102">
        <v>46006</v>
      </c>
      <c r="E399" s="102">
        <v>46008</v>
      </c>
      <c r="F399" s="104" t="s">
        <v>1381</v>
      </c>
      <c r="G399" s="97" t="s">
        <v>1378</v>
      </c>
      <c r="H399" s="90">
        <v>46001</v>
      </c>
      <c r="I399" s="95">
        <v>389610000</v>
      </c>
      <c r="J399" s="94">
        <v>105300000</v>
      </c>
      <c r="K399" s="94">
        <f t="shared" si="65"/>
        <v>11583000</v>
      </c>
      <c r="L399" s="94">
        <f>J399+K399</f>
        <v>116883000</v>
      </c>
      <c r="M399" s="247"/>
      <c r="N399" s="244"/>
      <c r="O399" s="244"/>
      <c r="P399" s="92" t="s">
        <v>795</v>
      </c>
      <c r="Q399" s="40"/>
      <c r="R399" s="40"/>
      <c r="S399" s="40"/>
      <c r="T399" s="40"/>
      <c r="U399" s="40"/>
      <c r="V399" s="40"/>
    </row>
    <row r="400" spans="1:22" s="17" customFormat="1" ht="15" customHeight="1" x14ac:dyDescent="0.35">
      <c r="A400" s="99">
        <v>32</v>
      </c>
      <c r="B400" s="101" t="s">
        <v>1379</v>
      </c>
      <c r="C400" s="99" t="s">
        <v>1380</v>
      </c>
      <c r="D400" s="102">
        <v>46006</v>
      </c>
      <c r="E400" s="102">
        <v>46008</v>
      </c>
      <c r="F400" s="91" t="s">
        <v>328</v>
      </c>
      <c r="G400" s="97" t="s">
        <v>1382</v>
      </c>
      <c r="H400" s="102">
        <v>46001</v>
      </c>
      <c r="I400" s="95">
        <v>520590000</v>
      </c>
      <c r="J400" s="94">
        <v>140700000</v>
      </c>
      <c r="K400" s="94">
        <f t="shared" si="65"/>
        <v>15477000</v>
      </c>
      <c r="L400" s="94">
        <f t="shared" ref="L400:L402" si="68">J400+K400</f>
        <v>156177000</v>
      </c>
      <c r="M400" s="247"/>
      <c r="N400" s="244"/>
      <c r="O400" s="244"/>
      <c r="P400" s="92" t="s">
        <v>1432</v>
      </c>
      <c r="Q400" s="40"/>
      <c r="R400" s="40"/>
      <c r="S400" s="40"/>
      <c r="T400" s="40"/>
      <c r="U400" s="40"/>
      <c r="V400" s="40"/>
    </row>
    <row r="401" spans="1:22" s="17" customFormat="1" ht="15" customHeight="1" x14ac:dyDescent="0.35">
      <c r="A401" s="99">
        <v>33</v>
      </c>
      <c r="B401" s="101" t="s">
        <v>1383</v>
      </c>
      <c r="C401" s="99" t="s">
        <v>1303</v>
      </c>
      <c r="D401" s="102">
        <v>46006</v>
      </c>
      <c r="E401" s="102">
        <v>46008</v>
      </c>
      <c r="F401" s="104" t="s">
        <v>328</v>
      </c>
      <c r="G401" s="97" t="s">
        <v>1384</v>
      </c>
      <c r="H401" s="90">
        <v>46001</v>
      </c>
      <c r="I401" s="95">
        <v>520590000</v>
      </c>
      <c r="J401" s="94">
        <v>140700000</v>
      </c>
      <c r="K401" s="94">
        <f t="shared" si="65"/>
        <v>15477000</v>
      </c>
      <c r="L401" s="94">
        <f t="shared" si="68"/>
        <v>156177000</v>
      </c>
      <c r="M401" s="248"/>
      <c r="N401" s="245"/>
      <c r="O401" s="245"/>
      <c r="P401" s="92" t="s">
        <v>1432</v>
      </c>
      <c r="Q401" s="40"/>
      <c r="R401" s="40"/>
      <c r="S401" s="40"/>
      <c r="T401" s="40"/>
      <c r="U401" s="40"/>
      <c r="V401" s="40"/>
    </row>
    <row r="402" spans="1:22" s="17" customFormat="1" ht="90" customHeight="1" x14ac:dyDescent="0.35">
      <c r="A402" s="99">
        <v>34</v>
      </c>
      <c r="B402" s="101" t="s">
        <v>198</v>
      </c>
      <c r="C402" s="99" t="s">
        <v>1385</v>
      </c>
      <c r="D402" s="102">
        <v>46007</v>
      </c>
      <c r="E402" s="102">
        <v>46008</v>
      </c>
      <c r="F402" s="104" t="s">
        <v>1386</v>
      </c>
      <c r="G402" s="97" t="s">
        <v>1387</v>
      </c>
      <c r="H402" s="90">
        <v>45991</v>
      </c>
      <c r="I402" s="95">
        <v>249977550</v>
      </c>
      <c r="J402" s="94">
        <v>225205000</v>
      </c>
      <c r="K402" s="94">
        <f t="shared" si="65"/>
        <v>24772550</v>
      </c>
      <c r="L402" s="94">
        <f t="shared" si="68"/>
        <v>249977550</v>
      </c>
      <c r="M402" s="99"/>
      <c r="N402" s="100"/>
      <c r="O402" s="94">
        <f t="shared" ref="O402" si="69">L402-N402</f>
        <v>249977550</v>
      </c>
      <c r="P402" s="92"/>
      <c r="Q402" s="40"/>
      <c r="R402" s="40"/>
      <c r="S402" s="40"/>
      <c r="T402" s="40"/>
      <c r="U402" s="40"/>
      <c r="V402" s="40"/>
    </row>
    <row r="403" spans="1:22" s="17" customFormat="1" ht="30" customHeight="1" x14ac:dyDescent="0.35">
      <c r="A403" s="99">
        <v>35</v>
      </c>
      <c r="B403" s="101" t="s">
        <v>198</v>
      </c>
      <c r="C403" s="99" t="s">
        <v>1388</v>
      </c>
      <c r="D403" s="102">
        <v>46007</v>
      </c>
      <c r="E403" s="102">
        <v>46008</v>
      </c>
      <c r="F403" s="104" t="s">
        <v>1389</v>
      </c>
      <c r="G403" s="97" t="s">
        <v>1390</v>
      </c>
      <c r="H403" s="90">
        <v>45967</v>
      </c>
      <c r="I403" s="95">
        <v>12616371</v>
      </c>
      <c r="J403" s="94">
        <v>11366100</v>
      </c>
      <c r="K403" s="94">
        <f t="shared" si="65"/>
        <v>1250271</v>
      </c>
      <c r="L403" s="94">
        <f t="shared" si="66"/>
        <v>12616371</v>
      </c>
      <c r="M403" s="99"/>
      <c r="N403" s="100"/>
      <c r="O403" s="94">
        <f t="shared" ref="O403:O415" si="70">L403-N403</f>
        <v>12616371</v>
      </c>
      <c r="P403" s="92"/>
      <c r="Q403" s="40"/>
      <c r="R403" s="40"/>
      <c r="S403" s="40"/>
      <c r="T403" s="40"/>
      <c r="U403" s="40"/>
      <c r="V403" s="40"/>
    </row>
    <row r="404" spans="1:22" s="17" customFormat="1" ht="15" customHeight="1" x14ac:dyDescent="0.35">
      <c r="A404" s="99">
        <v>36</v>
      </c>
      <c r="B404" s="101" t="s">
        <v>1391</v>
      </c>
      <c r="C404" s="99" t="s">
        <v>1392</v>
      </c>
      <c r="D404" s="102">
        <v>46008</v>
      </c>
      <c r="E404" s="102">
        <v>46010</v>
      </c>
      <c r="F404" s="91" t="s">
        <v>1393</v>
      </c>
      <c r="G404" s="92" t="s">
        <v>1394</v>
      </c>
      <c r="H404" s="102">
        <v>45919</v>
      </c>
      <c r="I404" s="94">
        <v>2053500000</v>
      </c>
      <c r="J404" s="94">
        <v>102777778</v>
      </c>
      <c r="K404" s="94">
        <f t="shared" si="65"/>
        <v>11305555.58</v>
      </c>
      <c r="L404" s="94">
        <f t="shared" si="66"/>
        <v>114083333.58</v>
      </c>
      <c r="M404" s="99" t="s">
        <v>1436</v>
      </c>
      <c r="N404" s="100">
        <v>114083334</v>
      </c>
      <c r="O404" s="94">
        <f t="shared" si="70"/>
        <v>-0.42000000178813934</v>
      </c>
      <c r="P404" s="92"/>
      <c r="Q404" s="40"/>
      <c r="R404" s="40"/>
      <c r="S404" s="40"/>
      <c r="T404" s="40"/>
      <c r="U404" s="40"/>
      <c r="V404" s="40"/>
    </row>
    <row r="405" spans="1:22" s="17" customFormat="1" ht="30" customHeight="1" x14ac:dyDescent="0.35">
      <c r="A405" s="99">
        <v>37</v>
      </c>
      <c r="B405" s="101" t="s">
        <v>343</v>
      </c>
      <c r="C405" s="99" t="s">
        <v>1395</v>
      </c>
      <c r="D405" s="102">
        <v>46009</v>
      </c>
      <c r="E405" s="102">
        <v>46010</v>
      </c>
      <c r="F405" s="91" t="s">
        <v>1397</v>
      </c>
      <c r="G405" s="92" t="s">
        <v>1398</v>
      </c>
      <c r="H405" s="93">
        <v>45901</v>
      </c>
      <c r="I405" s="94">
        <v>2697300</v>
      </c>
      <c r="J405" s="94">
        <v>2430000</v>
      </c>
      <c r="K405" s="94">
        <f t="shared" si="65"/>
        <v>267300</v>
      </c>
      <c r="L405" s="94">
        <f t="shared" si="66"/>
        <v>2697300</v>
      </c>
      <c r="M405" s="99" t="s">
        <v>1428</v>
      </c>
      <c r="N405" s="100">
        <v>2693700</v>
      </c>
      <c r="O405" s="94">
        <f t="shared" si="70"/>
        <v>3600</v>
      </c>
      <c r="P405" s="92" t="s">
        <v>1429</v>
      </c>
      <c r="Q405" s="40"/>
      <c r="R405" s="40"/>
      <c r="S405" s="40"/>
      <c r="T405" s="40"/>
      <c r="U405" s="40"/>
      <c r="V405" s="40"/>
    </row>
    <row r="406" spans="1:22" s="17" customFormat="1" ht="50" customHeight="1" x14ac:dyDescent="0.35">
      <c r="A406" s="99">
        <v>38</v>
      </c>
      <c r="B406" s="88" t="s">
        <v>1399</v>
      </c>
      <c r="C406" s="230" t="s">
        <v>1400</v>
      </c>
      <c r="D406" s="90">
        <v>46009</v>
      </c>
      <c r="E406" s="90">
        <v>46010</v>
      </c>
      <c r="F406" s="104" t="s">
        <v>1401</v>
      </c>
      <c r="G406" s="97" t="s">
        <v>1402</v>
      </c>
      <c r="H406" s="90">
        <v>46008</v>
      </c>
      <c r="I406" s="95">
        <v>41625000</v>
      </c>
      <c r="J406" s="94">
        <v>11250000</v>
      </c>
      <c r="K406" s="94">
        <f t="shared" si="65"/>
        <v>1237500</v>
      </c>
      <c r="L406" s="94">
        <f t="shared" si="66"/>
        <v>12487500</v>
      </c>
      <c r="M406" s="99" t="s">
        <v>1428</v>
      </c>
      <c r="N406" s="100">
        <v>12367500</v>
      </c>
      <c r="O406" s="94">
        <f t="shared" si="70"/>
        <v>120000</v>
      </c>
      <c r="P406" s="92" t="s">
        <v>1430</v>
      </c>
      <c r="Q406" s="40"/>
      <c r="R406" s="40"/>
      <c r="S406" s="40"/>
      <c r="T406" s="40"/>
      <c r="U406" s="40"/>
      <c r="V406" s="40"/>
    </row>
    <row r="407" spans="1:22" s="17" customFormat="1" ht="15" customHeight="1" x14ac:dyDescent="0.35">
      <c r="A407" s="99">
        <v>39</v>
      </c>
      <c r="B407" s="88" t="s">
        <v>210</v>
      </c>
      <c r="C407" s="230" t="s">
        <v>1403</v>
      </c>
      <c r="D407" s="90">
        <v>46009</v>
      </c>
      <c r="E407" s="90">
        <v>46010</v>
      </c>
      <c r="F407" s="101" t="s">
        <v>1191</v>
      </c>
      <c r="G407" s="92" t="s">
        <v>330</v>
      </c>
      <c r="H407" s="102">
        <v>45730</v>
      </c>
      <c r="I407" s="94">
        <v>520590000</v>
      </c>
      <c r="J407" s="94">
        <v>328300000</v>
      </c>
      <c r="K407" s="94">
        <f t="shared" si="65"/>
        <v>36113000</v>
      </c>
      <c r="L407" s="94">
        <f t="shared" si="66"/>
        <v>364413000</v>
      </c>
      <c r="M407" s="99"/>
      <c r="N407" s="100"/>
      <c r="O407" s="94">
        <f t="shared" si="70"/>
        <v>364413000</v>
      </c>
      <c r="P407" s="92"/>
      <c r="Q407" s="40"/>
      <c r="R407" s="40"/>
      <c r="S407" s="40"/>
      <c r="T407" s="40"/>
      <c r="U407" s="40"/>
      <c r="V407" s="40"/>
    </row>
    <row r="408" spans="1:22" s="17" customFormat="1" ht="15" customHeight="1" x14ac:dyDescent="0.35">
      <c r="A408" s="99">
        <v>40</v>
      </c>
      <c r="B408" s="101" t="s">
        <v>106</v>
      </c>
      <c r="C408" s="99" t="s">
        <v>1404</v>
      </c>
      <c r="D408" s="102">
        <v>46009</v>
      </c>
      <c r="E408" s="102">
        <v>46010</v>
      </c>
      <c r="F408" s="101" t="s">
        <v>1191</v>
      </c>
      <c r="G408" s="101" t="s">
        <v>329</v>
      </c>
      <c r="H408" s="102">
        <v>45730</v>
      </c>
      <c r="I408" s="94">
        <v>520590000</v>
      </c>
      <c r="J408" s="94">
        <v>328300000</v>
      </c>
      <c r="K408" s="94">
        <f t="shared" si="65"/>
        <v>36113000</v>
      </c>
      <c r="L408" s="94">
        <f t="shared" si="66"/>
        <v>364413000</v>
      </c>
      <c r="M408" s="99"/>
      <c r="N408" s="100"/>
      <c r="O408" s="94">
        <f t="shared" si="70"/>
        <v>364413000</v>
      </c>
      <c r="P408" s="92"/>
      <c r="Q408" s="40"/>
      <c r="R408" s="40"/>
      <c r="S408" s="40"/>
      <c r="T408" s="40"/>
      <c r="U408" s="40"/>
      <c r="V408" s="40"/>
    </row>
    <row r="409" spans="1:22" s="17" customFormat="1" ht="15" customHeight="1" x14ac:dyDescent="0.35">
      <c r="A409" s="99">
        <v>41</v>
      </c>
      <c r="B409" s="101" t="s">
        <v>362</v>
      </c>
      <c r="C409" s="99" t="s">
        <v>1405</v>
      </c>
      <c r="D409" s="102">
        <v>46009</v>
      </c>
      <c r="E409" s="102">
        <v>46010</v>
      </c>
      <c r="F409" s="91" t="s">
        <v>1406</v>
      </c>
      <c r="G409" s="92" t="s">
        <v>1407</v>
      </c>
      <c r="H409" s="102">
        <v>45734</v>
      </c>
      <c r="I409" s="206">
        <v>3002689860</v>
      </c>
      <c r="J409" s="94">
        <v>1910343800</v>
      </c>
      <c r="K409" s="94">
        <f t="shared" si="65"/>
        <v>210137818</v>
      </c>
      <c r="L409" s="94">
        <f t="shared" si="66"/>
        <v>2120481618</v>
      </c>
      <c r="M409" s="99"/>
      <c r="N409" s="100"/>
      <c r="O409" s="94">
        <f t="shared" si="70"/>
        <v>2120481618</v>
      </c>
      <c r="P409" s="92"/>
      <c r="Q409" s="40"/>
      <c r="R409" s="40"/>
      <c r="S409" s="40"/>
      <c r="T409" s="40"/>
      <c r="U409" s="40"/>
      <c r="V409" s="40"/>
    </row>
    <row r="410" spans="1:22" s="17" customFormat="1" ht="40" customHeight="1" x14ac:dyDescent="0.35">
      <c r="A410" s="99">
        <v>42</v>
      </c>
      <c r="B410" s="101" t="s">
        <v>1408</v>
      </c>
      <c r="C410" s="99" t="s">
        <v>1409</v>
      </c>
      <c r="D410" s="102">
        <v>46009</v>
      </c>
      <c r="E410" s="102">
        <v>46010</v>
      </c>
      <c r="F410" s="91" t="s">
        <v>1410</v>
      </c>
      <c r="G410" s="92">
        <v>4516700149</v>
      </c>
      <c r="H410" s="102">
        <v>45937</v>
      </c>
      <c r="I410" s="206">
        <v>5150400000</v>
      </c>
      <c r="J410" s="94">
        <v>1840000000</v>
      </c>
      <c r="K410" s="94">
        <f t="shared" si="65"/>
        <v>202400000</v>
      </c>
      <c r="L410" s="94">
        <f t="shared" si="66"/>
        <v>2042400000</v>
      </c>
      <c r="M410" s="99"/>
      <c r="N410" s="100"/>
      <c r="O410" s="94">
        <f t="shared" si="70"/>
        <v>2042400000</v>
      </c>
      <c r="P410" s="92"/>
      <c r="Q410" s="40"/>
      <c r="R410" s="40"/>
      <c r="S410" s="40"/>
      <c r="T410" s="40"/>
      <c r="U410" s="40"/>
      <c r="V410" s="40"/>
    </row>
    <row r="411" spans="1:22" s="17" customFormat="1" ht="60" customHeight="1" x14ac:dyDescent="0.35">
      <c r="A411" s="99">
        <v>43</v>
      </c>
      <c r="B411" s="101" t="s">
        <v>1408</v>
      </c>
      <c r="C411" s="99" t="s">
        <v>1304</v>
      </c>
      <c r="D411" s="102">
        <v>46009</v>
      </c>
      <c r="E411" s="102">
        <v>46010</v>
      </c>
      <c r="F411" s="91" t="s">
        <v>1414</v>
      </c>
      <c r="G411" s="92">
        <v>4516676202</v>
      </c>
      <c r="H411" s="102">
        <v>45937</v>
      </c>
      <c r="I411" s="206">
        <v>11375280000</v>
      </c>
      <c r="J411" s="94">
        <v>9648000000</v>
      </c>
      <c r="K411" s="94">
        <f t="shared" si="65"/>
        <v>1061280000</v>
      </c>
      <c r="L411" s="94">
        <f t="shared" si="66"/>
        <v>10709280000</v>
      </c>
      <c r="M411" s="99"/>
      <c r="N411" s="100"/>
      <c r="O411" s="94">
        <f t="shared" si="70"/>
        <v>10709280000</v>
      </c>
      <c r="P411" s="92"/>
      <c r="Q411" s="40"/>
      <c r="R411" s="40"/>
      <c r="S411" s="40"/>
      <c r="T411" s="40"/>
      <c r="U411" s="40"/>
      <c r="V411" s="40"/>
    </row>
    <row r="412" spans="1:22" s="17" customFormat="1" ht="15" customHeight="1" x14ac:dyDescent="0.35">
      <c r="A412" s="99">
        <v>44</v>
      </c>
      <c r="B412" s="101" t="s">
        <v>44</v>
      </c>
      <c r="C412" s="99" t="s">
        <v>1411</v>
      </c>
      <c r="D412" s="102">
        <v>46013</v>
      </c>
      <c r="E412" s="102">
        <v>46014</v>
      </c>
      <c r="F412" s="91" t="s">
        <v>1417</v>
      </c>
      <c r="G412" s="92" t="s">
        <v>236</v>
      </c>
      <c r="H412" s="102">
        <v>45664</v>
      </c>
      <c r="I412" s="94">
        <v>809190000</v>
      </c>
      <c r="J412" s="94">
        <v>60750000</v>
      </c>
      <c r="K412" s="94">
        <f t="shared" si="65"/>
        <v>6682500</v>
      </c>
      <c r="L412" s="94">
        <f t="shared" si="66"/>
        <v>67432500</v>
      </c>
      <c r="M412" s="99"/>
      <c r="N412" s="100"/>
      <c r="O412" s="94">
        <f t="shared" si="70"/>
        <v>67432500</v>
      </c>
      <c r="P412" s="92"/>
      <c r="Q412" s="40"/>
      <c r="R412" s="40"/>
      <c r="S412" s="40"/>
      <c r="T412" s="40"/>
      <c r="U412" s="40"/>
      <c r="V412" s="40"/>
    </row>
    <row r="413" spans="1:22" s="17" customFormat="1" ht="25" customHeight="1" x14ac:dyDescent="0.35">
      <c r="A413" s="99">
        <v>45</v>
      </c>
      <c r="B413" s="101" t="s">
        <v>826</v>
      </c>
      <c r="C413" s="99" t="s">
        <v>1412</v>
      </c>
      <c r="D413" s="102"/>
      <c r="E413" s="102">
        <v>46014</v>
      </c>
      <c r="F413" s="91" t="s">
        <v>1416</v>
      </c>
      <c r="G413" s="92" t="s">
        <v>437</v>
      </c>
      <c r="H413" s="102">
        <v>45735</v>
      </c>
      <c r="I413" s="94">
        <v>177600000</v>
      </c>
      <c r="J413" s="94">
        <v>32000000</v>
      </c>
      <c r="K413" s="94">
        <f t="shared" si="65"/>
        <v>3520000</v>
      </c>
      <c r="L413" s="94">
        <f t="shared" si="66"/>
        <v>35520000</v>
      </c>
      <c r="M413" s="99" t="s">
        <v>1434</v>
      </c>
      <c r="N413" s="100">
        <v>35514000</v>
      </c>
      <c r="O413" s="94">
        <f t="shared" si="70"/>
        <v>6000</v>
      </c>
      <c r="P413" s="92" t="s">
        <v>1435</v>
      </c>
      <c r="Q413" s="40"/>
      <c r="R413" s="40"/>
      <c r="S413" s="40"/>
      <c r="T413" s="40"/>
      <c r="U413" s="40"/>
      <c r="V413" s="40"/>
    </row>
    <row r="414" spans="1:22" s="17" customFormat="1" ht="15" customHeight="1" x14ac:dyDescent="0.35">
      <c r="A414" s="99">
        <v>46</v>
      </c>
      <c r="B414" s="101" t="s">
        <v>1336</v>
      </c>
      <c r="C414" s="99" t="s">
        <v>1413</v>
      </c>
      <c r="D414" s="102">
        <v>46014</v>
      </c>
      <c r="E414" s="102">
        <v>46015</v>
      </c>
      <c r="F414" s="104" t="s">
        <v>1418</v>
      </c>
      <c r="G414" s="97" t="s">
        <v>1235</v>
      </c>
      <c r="H414" s="90">
        <v>45979</v>
      </c>
      <c r="I414" s="95">
        <v>277500000</v>
      </c>
      <c r="J414" s="94">
        <v>62500000</v>
      </c>
      <c r="K414" s="94">
        <f t="shared" si="65"/>
        <v>6875000</v>
      </c>
      <c r="L414" s="94">
        <f t="shared" si="66"/>
        <v>69375000</v>
      </c>
      <c r="M414" s="99"/>
      <c r="N414" s="100"/>
      <c r="O414" s="94">
        <f t="shared" si="70"/>
        <v>69375000</v>
      </c>
      <c r="P414" s="92"/>
      <c r="Q414" s="40"/>
      <c r="R414" s="40"/>
      <c r="S414" s="40"/>
      <c r="T414" s="40"/>
      <c r="U414" s="40"/>
      <c r="V414" s="40"/>
    </row>
    <row r="415" spans="1:22" s="17" customFormat="1" ht="25" customHeight="1" x14ac:dyDescent="0.35">
      <c r="A415" s="99">
        <v>47</v>
      </c>
      <c r="B415" s="101" t="s">
        <v>997</v>
      </c>
      <c r="C415" s="99" t="s">
        <v>1396</v>
      </c>
      <c r="D415" s="102">
        <v>46013</v>
      </c>
      <c r="E415" s="102">
        <v>46020</v>
      </c>
      <c r="F415" s="91" t="s">
        <v>1420</v>
      </c>
      <c r="G415" s="92" t="s">
        <v>1419</v>
      </c>
      <c r="H415" s="102">
        <v>45180</v>
      </c>
      <c r="I415" s="94">
        <v>2170949730</v>
      </c>
      <c r="J415" s="94">
        <v>195581057</v>
      </c>
      <c r="K415" s="94">
        <f t="shared" si="65"/>
        <v>21513916.27</v>
      </c>
      <c r="L415" s="94">
        <f t="shared" si="66"/>
        <v>217094973.27000001</v>
      </c>
      <c r="M415" s="99"/>
      <c r="N415" s="100"/>
      <c r="O415" s="94">
        <f t="shared" si="70"/>
        <v>217094973.27000001</v>
      </c>
      <c r="P415" s="92"/>
      <c r="Q415" s="40"/>
      <c r="R415" s="40"/>
      <c r="S415" s="40"/>
      <c r="T415" s="40"/>
      <c r="U415" s="40"/>
      <c r="V415" s="40"/>
    </row>
    <row r="416" spans="1:22" s="17" customFormat="1" ht="29.25" customHeight="1" x14ac:dyDescent="0.35">
      <c r="A416" s="279" t="s">
        <v>43</v>
      </c>
      <c r="B416" s="280"/>
      <c r="C416" s="280"/>
      <c r="D416" s="280"/>
      <c r="E416" s="280"/>
      <c r="F416" s="280"/>
      <c r="G416" s="280"/>
      <c r="H416" s="281"/>
      <c r="I416" s="61">
        <f>SUM(I369:I415)</f>
        <v>132682331951.99001</v>
      </c>
      <c r="J416" s="61">
        <f>SUM(J369:J415)</f>
        <v>17929185946</v>
      </c>
      <c r="K416" s="61">
        <f>SUM(K369:K415)</f>
        <v>1972210454.0599999</v>
      </c>
      <c r="L416" s="61">
        <f>SUM(L369:L415)</f>
        <v>19901396400.060001</v>
      </c>
      <c r="M416" s="46"/>
      <c r="N416" s="47">
        <f>SUM(N369:N415)</f>
        <v>1415815934</v>
      </c>
      <c r="O416" s="61">
        <f>SUM(O369:O415)</f>
        <v>18485580466.060001</v>
      </c>
      <c r="P416" s="149"/>
      <c r="Q416" s="40"/>
      <c r="R416" s="40"/>
      <c r="S416" s="40"/>
      <c r="T416" s="40"/>
      <c r="U416" s="40"/>
      <c r="V416" s="40"/>
    </row>
    <row r="417" spans="3:16" s="17" customFormat="1" x14ac:dyDescent="0.35">
      <c r="C417" s="80"/>
      <c r="D417" s="80"/>
      <c r="E417" s="80"/>
      <c r="I417" s="83"/>
      <c r="J417" s="83"/>
      <c r="K417" s="83"/>
      <c r="M417" s="80"/>
      <c r="N417" s="81"/>
      <c r="P417" s="7"/>
    </row>
    <row r="418" spans="3:16" s="233" customFormat="1" x14ac:dyDescent="0.35">
      <c r="C418" s="234"/>
      <c r="D418" s="234"/>
      <c r="E418" s="234"/>
      <c r="I418" s="235"/>
      <c r="J418" s="235">
        <f>J41+J73+J107+J136+J165+J197+J240+J263+J295+J326+J367+J416</f>
        <v>123880507465</v>
      </c>
      <c r="K418" s="235">
        <f>K41+K73+K107+K136+K165+K197+K240+K263+K295+K326+K367+K416</f>
        <v>13626855819.65</v>
      </c>
      <c r="L418" s="236">
        <f>L41+L73+L107+L136+L165+L197+L240+L263+L295+L326+L367+L416</f>
        <v>137507363284.65002</v>
      </c>
      <c r="M418" s="234"/>
      <c r="N418" s="237">
        <f>N41+N73+N107+N136+N165+N197+N240+N263+N295+N326+N367+N416</f>
        <v>102025925696</v>
      </c>
      <c r="O418" s="236">
        <f>O41+O73+O107+O136+O165+O197+O240+O263+O295+O326+O367+O416</f>
        <v>35481437588.650002</v>
      </c>
      <c r="P418" s="238"/>
    </row>
    <row r="419" spans="3:16" ht="15.5" x14ac:dyDescent="0.35">
      <c r="H419" s="278"/>
      <c r="I419" s="278"/>
      <c r="J419" s="85"/>
      <c r="K419" s="85"/>
      <c r="L419" s="86"/>
      <c r="M419" s="84"/>
      <c r="N419" s="87"/>
      <c r="O419" s="86"/>
    </row>
    <row r="420" spans="3:16" x14ac:dyDescent="0.35">
      <c r="P420" s="155"/>
    </row>
    <row r="1046490" spans="4:4" x14ac:dyDescent="0.35">
      <c r="D1046490" s="28"/>
    </row>
    <row r="1047292" spans="5:5" x14ac:dyDescent="0.35">
      <c r="E1047292" s="29"/>
    </row>
    <row r="1048000" spans="5:5" x14ac:dyDescent="0.35">
      <c r="E1048000" s="29"/>
    </row>
    <row r="1048571" spans="3:3" x14ac:dyDescent="0.35">
      <c r="C1048571" s="32"/>
    </row>
  </sheetData>
  <mergeCells count="88">
    <mergeCell ref="M195:M196"/>
    <mergeCell ref="N195:N196"/>
    <mergeCell ref="O195:O196"/>
    <mergeCell ref="M232:M233"/>
    <mergeCell ref="N232:N233"/>
    <mergeCell ref="O232:O233"/>
    <mergeCell ref="N357:N358"/>
    <mergeCell ref="O357:O358"/>
    <mergeCell ref="M357:M358"/>
    <mergeCell ref="M255:M258"/>
    <mergeCell ref="O255:O258"/>
    <mergeCell ref="N255:N258"/>
    <mergeCell ref="M312:M313"/>
    <mergeCell ref="N303:N305"/>
    <mergeCell ref="O303:O305"/>
    <mergeCell ref="M303:M305"/>
    <mergeCell ref="A165:H165"/>
    <mergeCell ref="O91:O98"/>
    <mergeCell ref="N91:N98"/>
    <mergeCell ref="M91:M98"/>
    <mergeCell ref="H419:I419"/>
    <mergeCell ref="A416:H416"/>
    <mergeCell ref="A197:H197"/>
    <mergeCell ref="A240:H240"/>
    <mergeCell ref="A263:H263"/>
    <mergeCell ref="A295:H295"/>
    <mergeCell ref="A326:H326"/>
    <mergeCell ref="A367:H367"/>
    <mergeCell ref="N218:N219"/>
    <mergeCell ref="O218:O219"/>
    <mergeCell ref="M218:M219"/>
    <mergeCell ref="O253:O254"/>
    <mergeCell ref="A41:H41"/>
    <mergeCell ref="A73:H73"/>
    <mergeCell ref="A107:H107"/>
    <mergeCell ref="A136:H136"/>
    <mergeCell ref="M65:M67"/>
    <mergeCell ref="M54:M55"/>
    <mergeCell ref="M62:M64"/>
    <mergeCell ref="M104:M105"/>
    <mergeCell ref="M113:M114"/>
    <mergeCell ref="M43:M44"/>
    <mergeCell ref="M127:M129"/>
    <mergeCell ref="N43:N44"/>
    <mergeCell ref="O43:O44"/>
    <mergeCell ref="N14:N15"/>
    <mergeCell ref="O14:O15"/>
    <mergeCell ref="M14:M15"/>
    <mergeCell ref="M33:M35"/>
    <mergeCell ref="M36:M40"/>
    <mergeCell ref="N8:N13"/>
    <mergeCell ref="O8:O13"/>
    <mergeCell ref="M8:M13"/>
    <mergeCell ref="M19:M22"/>
    <mergeCell ref="N19:N22"/>
    <mergeCell ref="O19:O22"/>
    <mergeCell ref="N253:N254"/>
    <mergeCell ref="M253:M254"/>
    <mergeCell ref="N54:N55"/>
    <mergeCell ref="O54:O55"/>
    <mergeCell ref="N113:N114"/>
    <mergeCell ref="O113:O114"/>
    <mergeCell ref="N148:N153"/>
    <mergeCell ref="O148:O153"/>
    <mergeCell ref="O127:O129"/>
    <mergeCell ref="N127:N129"/>
    <mergeCell ref="N193:N194"/>
    <mergeCell ref="O193:O194"/>
    <mergeCell ref="M193:M194"/>
    <mergeCell ref="N185:N186"/>
    <mergeCell ref="O185:O186"/>
    <mergeCell ref="M185:M186"/>
    <mergeCell ref="N396:N401"/>
    <mergeCell ref="O396:O401"/>
    <mergeCell ref="M396:M401"/>
    <mergeCell ref="M148:M153"/>
    <mergeCell ref="M273:M274"/>
    <mergeCell ref="N273:N274"/>
    <mergeCell ref="O273:O274"/>
    <mergeCell ref="M171:M174"/>
    <mergeCell ref="N171:N174"/>
    <mergeCell ref="O171:O174"/>
    <mergeCell ref="M159:M160"/>
    <mergeCell ref="O159:O160"/>
    <mergeCell ref="N159:N160"/>
    <mergeCell ref="M190:M192"/>
    <mergeCell ref="N190:N192"/>
    <mergeCell ref="O190:O192"/>
  </mergeCells>
  <phoneticPr fontId="9" type="noConversion"/>
  <pageMargins left="0.7" right="0.7" top="0.75" bottom="0.75" header="0.3" footer="0.3"/>
  <pageSetup paperSize="8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908A-6884-48E6-A7CE-6F08556622B6}">
  <dimension ref="A1:M22"/>
  <sheetViews>
    <sheetView zoomScale="85" zoomScaleNormal="85" workbookViewId="0">
      <pane xSplit="8" ySplit="6" topLeftCell="I10" activePane="bottomRight" state="frozen"/>
      <selection pane="topRight" activeCell="I1" sqref="I1"/>
      <selection pane="bottomLeft" activeCell="A7" sqref="A7"/>
      <selection pane="bottomRight" activeCell="B15" sqref="B15"/>
    </sheetView>
  </sheetViews>
  <sheetFormatPr defaultRowHeight="14.5" x14ac:dyDescent="0.35"/>
  <cols>
    <col min="1" max="1" width="7.1796875" customWidth="1"/>
    <col min="2" max="2" width="36.453125" customWidth="1"/>
    <col min="3" max="3" width="22" customWidth="1"/>
    <col min="4" max="4" width="16.1796875" customWidth="1"/>
    <col min="5" max="5" width="53" customWidth="1"/>
    <col min="6" max="6" width="27.7265625" customWidth="1"/>
    <col min="7" max="7" width="13.1796875" customWidth="1"/>
    <col min="8" max="8" width="17.26953125" customWidth="1"/>
    <col min="9" max="9" width="38.26953125" customWidth="1"/>
    <col min="10" max="10" width="23" customWidth="1"/>
    <col min="11" max="11" width="11.81640625" customWidth="1"/>
    <col min="12" max="12" width="98.26953125" customWidth="1"/>
  </cols>
  <sheetData>
    <row r="1" spans="1:13" x14ac:dyDescent="0.35">
      <c r="A1" t="s">
        <v>23</v>
      </c>
    </row>
    <row r="2" spans="1:13" x14ac:dyDescent="0.35">
      <c r="C2" t="s">
        <v>24</v>
      </c>
      <c r="F2" s="21"/>
      <c r="G2" t="s">
        <v>5</v>
      </c>
    </row>
    <row r="3" spans="1:13" x14ac:dyDescent="0.35">
      <c r="B3" s="22"/>
      <c r="C3" t="s">
        <v>25</v>
      </c>
    </row>
    <row r="6" spans="1:13" s="24" customFormat="1" ht="29.25" customHeight="1" x14ac:dyDescent="0.35">
      <c r="A6" s="13" t="s">
        <v>6</v>
      </c>
      <c r="B6" s="13" t="s">
        <v>26</v>
      </c>
      <c r="C6" s="13" t="s">
        <v>7</v>
      </c>
      <c r="D6" s="13" t="s">
        <v>8</v>
      </c>
      <c r="E6" s="13" t="s">
        <v>9</v>
      </c>
      <c r="F6" s="13" t="s">
        <v>27</v>
      </c>
      <c r="G6" s="13" t="s">
        <v>28</v>
      </c>
      <c r="H6" s="13" t="s">
        <v>10</v>
      </c>
      <c r="I6" s="23" t="s">
        <v>29</v>
      </c>
      <c r="J6" s="23" t="s">
        <v>30</v>
      </c>
      <c r="K6" s="23" t="s">
        <v>11</v>
      </c>
      <c r="L6" s="13" t="s">
        <v>9</v>
      </c>
    </row>
    <row r="7" spans="1:13" ht="145" x14ac:dyDescent="0.35">
      <c r="A7" s="113">
        <v>1</v>
      </c>
      <c r="B7" s="114" t="s">
        <v>511</v>
      </c>
      <c r="C7" s="113" t="s">
        <v>512</v>
      </c>
      <c r="D7" s="115">
        <v>45785</v>
      </c>
      <c r="E7" s="116" t="s">
        <v>513</v>
      </c>
      <c r="F7" s="114">
        <v>84315</v>
      </c>
      <c r="G7" s="115">
        <v>45783</v>
      </c>
      <c r="H7" s="145">
        <v>30700</v>
      </c>
      <c r="I7" s="113"/>
      <c r="J7" s="118"/>
      <c r="K7" s="117"/>
      <c r="L7" s="119"/>
    </row>
    <row r="8" spans="1:13" x14ac:dyDescent="0.35">
      <c r="A8" s="282" t="s">
        <v>514</v>
      </c>
      <c r="B8" s="282"/>
      <c r="C8" s="282"/>
      <c r="D8" s="282"/>
      <c r="E8" s="282"/>
      <c r="F8" s="282"/>
      <c r="G8" s="282"/>
      <c r="H8" s="158">
        <f>SUM(H7)</f>
        <v>30700</v>
      </c>
      <c r="I8" s="120"/>
      <c r="J8" s="121"/>
      <c r="K8" s="122"/>
      <c r="L8" s="120"/>
    </row>
    <row r="9" spans="1:13" x14ac:dyDescent="0.35">
      <c r="A9" s="283"/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</row>
    <row r="10" spans="1:13" x14ac:dyDescent="0.35">
      <c r="A10" s="284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</row>
    <row r="11" spans="1:13" s="17" customFormat="1" ht="29" x14ac:dyDescent="0.35">
      <c r="A11" s="113">
        <v>1</v>
      </c>
      <c r="B11" s="157" t="s">
        <v>784</v>
      </c>
      <c r="C11" s="113" t="s">
        <v>785</v>
      </c>
      <c r="D11" s="123">
        <v>45852</v>
      </c>
      <c r="E11" s="114" t="s">
        <v>788</v>
      </c>
      <c r="F11" s="124" t="s">
        <v>786</v>
      </c>
      <c r="G11" s="123" t="s">
        <v>786</v>
      </c>
      <c r="H11" s="156">
        <v>7000</v>
      </c>
      <c r="I11" s="113"/>
      <c r="J11" s="126"/>
      <c r="K11" s="125"/>
      <c r="L11" s="134"/>
    </row>
    <row r="12" spans="1:13" s="17" customFormat="1" ht="29" x14ac:dyDescent="0.35">
      <c r="A12" s="113">
        <v>2</v>
      </c>
      <c r="B12" s="157" t="s">
        <v>784</v>
      </c>
      <c r="C12" s="113" t="s">
        <v>787</v>
      </c>
      <c r="D12" s="123">
        <v>45852</v>
      </c>
      <c r="E12" s="114" t="s">
        <v>789</v>
      </c>
      <c r="F12" s="124" t="s">
        <v>786</v>
      </c>
      <c r="G12" s="123" t="s">
        <v>786</v>
      </c>
      <c r="H12" s="156">
        <v>10500</v>
      </c>
      <c r="I12" s="113"/>
      <c r="J12" s="126"/>
      <c r="K12" s="125"/>
      <c r="L12" s="134"/>
    </row>
    <row r="13" spans="1:13" x14ac:dyDescent="0.35">
      <c r="A13" s="285" t="s">
        <v>38</v>
      </c>
      <c r="B13" s="286"/>
      <c r="C13" s="286"/>
      <c r="D13" s="286"/>
      <c r="E13" s="286"/>
      <c r="F13" s="286"/>
      <c r="G13" s="287"/>
      <c r="H13" s="159">
        <f>SUM(H11:H12)</f>
        <v>17500</v>
      </c>
      <c r="I13" s="128"/>
      <c r="J13" s="121"/>
      <c r="K13" s="122"/>
      <c r="L13" s="128"/>
      <c r="M13" s="129"/>
    </row>
    <row r="14" spans="1:13" ht="30" customHeight="1" x14ac:dyDescent="0.35">
      <c r="C14" s="130"/>
      <c r="D14" s="131"/>
      <c r="E14" s="132"/>
      <c r="F14" s="133"/>
      <c r="G14" s="131"/>
      <c r="H14" s="16"/>
      <c r="J14" s="25"/>
      <c r="K14" s="16"/>
    </row>
    <row r="15" spans="1:13" x14ac:dyDescent="0.35">
      <c r="A15" s="113"/>
      <c r="B15" s="134"/>
      <c r="C15" s="113"/>
      <c r="D15" s="123"/>
      <c r="E15" s="116"/>
      <c r="F15" s="124"/>
      <c r="G15" s="123"/>
      <c r="H15" s="117"/>
      <c r="I15" s="135"/>
      <c r="J15" s="136"/>
      <c r="K15" s="137"/>
      <c r="L15" s="120"/>
    </row>
    <row r="16" spans="1:13" x14ac:dyDescent="0.35">
      <c r="A16" s="282"/>
      <c r="B16" s="282"/>
      <c r="C16" s="282"/>
      <c r="D16" s="282"/>
      <c r="E16" s="282"/>
      <c r="F16" s="282"/>
      <c r="G16" s="282"/>
      <c r="H16" s="122"/>
      <c r="I16" s="138"/>
      <c r="J16" s="121"/>
      <c r="K16" s="127"/>
      <c r="L16" s="120"/>
    </row>
    <row r="17" spans="3:11" ht="30" customHeight="1" x14ac:dyDescent="0.35">
      <c r="C17" s="130"/>
      <c r="D17" s="131"/>
      <c r="E17" s="132"/>
      <c r="F17" s="20"/>
      <c r="G17" s="131"/>
      <c r="H17" s="16"/>
      <c r="I17" s="139"/>
      <c r="J17" s="25"/>
      <c r="K17" s="16"/>
    </row>
    <row r="18" spans="3:11" x14ac:dyDescent="0.35">
      <c r="H18" s="25"/>
    </row>
    <row r="19" spans="3:11" x14ac:dyDescent="0.35">
      <c r="H19" s="25"/>
    </row>
    <row r="20" spans="3:11" x14ac:dyDescent="0.35">
      <c r="H20" s="25"/>
    </row>
    <row r="21" spans="3:11" x14ac:dyDescent="0.35">
      <c r="H21" s="25"/>
    </row>
    <row r="22" spans="3:11" x14ac:dyDescent="0.35">
      <c r="H22" s="25"/>
    </row>
  </sheetData>
  <autoFilter ref="A6:M17" xr:uid="{00000000-0009-0000-0000-000001000000}"/>
  <mergeCells count="4">
    <mergeCell ref="A8:G8"/>
    <mergeCell ref="A9:L10"/>
    <mergeCell ref="A13:G13"/>
    <mergeCell ref="A16:G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PPN 2025</vt:lpstr>
      <vt:lpstr>NON PPN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Tribangun Usaha Persada</dc:creator>
  <cp:lastModifiedBy>USER</cp:lastModifiedBy>
  <cp:lastPrinted>2024-05-21T05:32:02Z</cp:lastPrinted>
  <dcterms:created xsi:type="dcterms:W3CDTF">2018-04-05T01:30:17Z</dcterms:created>
  <dcterms:modified xsi:type="dcterms:W3CDTF">2026-01-18T18:34:44Z</dcterms:modified>
</cp:coreProperties>
</file>